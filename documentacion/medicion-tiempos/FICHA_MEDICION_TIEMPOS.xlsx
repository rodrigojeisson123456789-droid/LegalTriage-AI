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ía" sheetId="1" state="visible" r:id="rId1"/>
    <sheet xmlns:r="http://schemas.openxmlformats.org/officeDocument/2006/relationships" name="Preparación" sheetId="2" state="visible" r:id="rId2"/>
    <sheet xmlns:r="http://schemas.openxmlformats.org/officeDocument/2006/relationships" name="Casos" sheetId="3" state="visible" r:id="rId3"/>
    <sheet xmlns:r="http://schemas.openxmlformats.org/officeDocument/2006/relationships" name="Tareas" sheetId="4" state="visible" r:id="rId4"/>
    <sheet xmlns:r="http://schemas.openxmlformats.org/officeDocument/2006/relationships" name="Mediciones" sheetId="5" state="visible" r:id="rId5"/>
    <sheet xmlns:r="http://schemas.openxmlformats.org/officeDocument/2006/relationships" name="Resumen" sheetId="6" state="visible" r:id="rId6"/>
  </sheets>
  <definedNames>
    <definedName name="CodigosCasos">'Casos'!$A$2:$A$4</definedName>
    <definedName name="CodigosTareas">'Tareas'!$A$2:$A$7</definedName>
    <definedName name="_xlnm._FilterDatabase" localSheetId="0" hidden="1">'Guía'!$A$1:$B$16</definedName>
    <definedName name="_xlnm.Print_Titles" localSheetId="0">'Guía'!$1:$1</definedName>
    <definedName name="_xlnm._FilterDatabase" localSheetId="1" hidden="1">'Preparación'!$A$1:$B$14</definedName>
    <definedName name="_xlnm.Print_Titles" localSheetId="1">'Preparación'!$1:$1</definedName>
    <definedName name="_xlnm._FilterDatabase" localSheetId="2" hidden="1">'Casos'!$A$1:$G$4</definedName>
    <definedName name="_xlnm.Print_Titles" localSheetId="2">'Casos'!$1:$1</definedName>
    <definedName name="_xlnm._FilterDatabase" localSheetId="3" hidden="1">'Tareas'!$A$1:$H$7</definedName>
    <definedName name="_xlnm.Print_Titles" localSheetId="3">'Tareas'!$1:$1</definedName>
    <definedName name="_xlnm._FilterDatabase" localSheetId="4" hidden="1">'Mediciones'!$A$1:$S$201</definedName>
    <definedName name="_xlnm.Print_Titles" localSheetId="4">'Mediciones'!$1:$1</definedName>
    <definedName name="_xlnm.Print_Area" localSheetId="4">'Mediciones'!$A$1:$S$201</definedName>
    <definedName name="_xlnm._FilterDatabase" localSheetId="5" hidden="1">'Resumen'!$A$1:$M$7</definedName>
    <definedName name="_xlnm.Print_Titles" localSheetId="5">'Resumen'!$1:$1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dd/mm/yyyy hh:mm"/>
    <numFmt numFmtId="165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C5144"/>
      </patternFill>
    </fill>
    <fill>
      <patternFill patternType="solid">
        <fgColor rgb="00EAF3FF"/>
      </patternFill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164" fontId="0" fillId="3" borderId="0" applyAlignment="1" pivotButton="0" quotePrefix="0" xfId="0">
      <alignment vertical="top" wrapText="1"/>
    </xf>
    <xf numFmtId="2" fontId="0" fillId="3" borderId="0" applyAlignment="1" pivotButton="0" quotePrefix="0" xfId="0">
      <alignment vertical="top" wrapText="1"/>
    </xf>
    <xf numFmtId="2" fontId="0" fillId="4" borderId="0" applyAlignment="1" pivotButton="0" quotePrefix="0" xfId="0">
      <alignment vertical="top" wrapText="1"/>
    </xf>
    <xf numFmtId="165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5" customWidth="1" min="2" max="2"/>
  </cols>
  <sheetData>
    <row r="1" ht="35" customHeight="1">
      <c r="A1" s="1" t="inlineStr">
        <is>
          <t>Paso</t>
        </is>
      </c>
      <c r="B1" s="1" t="inlineStr">
        <is>
          <t>Instrucción</t>
        </is>
      </c>
    </row>
    <row r="2">
      <c r="A2" s="2" t="inlineStr">
        <is>
          <t>Propósito</t>
        </is>
      </c>
      <c r="B2" s="2" t="inlineStr">
        <is>
          <t>Plantilla vacía para un piloto exploratorio con datos ficticios. No contiene tiempos observados ni resultados de mejora.</t>
        </is>
      </c>
    </row>
    <row r="3">
      <c r="A3" s="2" t="inlineStr">
        <is>
          <t>1. Confirmar la línea base</t>
        </is>
      </c>
      <c r="B3" s="2" t="inlineStr">
        <is>
          <t>Observar y describir el procedimiento manual real en Preparación. Si no lo conoces, no presentes un método inventado como situación actual. Validar las tareas con el asesor.</t>
        </is>
      </c>
    </row>
    <row r="4">
      <c r="A4" s="2" t="inlineStr">
        <is>
          <t>2. Preparar</t>
        </is>
      </c>
      <c r="B4" s="2" t="inlineStr">
        <is>
          <t>Usar los mismos datos y productos finales en ambas modalidades, casos separados y estados iniciales equivalentes. Preparar referencias en Casos.</t>
        </is>
      </c>
    </row>
    <row r="5">
      <c r="A5" s="2" t="inlineStr">
        <is>
          <t>3. Practicar</t>
        </is>
      </c>
      <c r="B5" s="2" t="inlineStr">
        <is>
          <t>Hacer una práctica por modalidad y excluirla de los resultados. No incluir login ni configuración salvo que la tarea los defina.</t>
        </is>
      </c>
    </row>
    <row r="6">
      <c r="A6" s="2" t="inlineStr">
        <is>
          <t>4. Orden</t>
        </is>
      </c>
      <c r="B6" s="2" t="inlineStr">
        <is>
          <t>Hay nueve pares planificados (3 casos x 3 tareas); no son observaciones. Se alterna el orden para reducir aprendizaje. Mantener operador, equipo y condiciones; no memorizar respuestas.</t>
        </is>
      </c>
    </row>
    <row r="7">
      <c r="A7" s="2" t="inlineStr">
        <is>
          <t>5. Cronometrar</t>
        </is>
      </c>
      <c r="B7" s="2" t="inlineStr">
        <is>
          <t>Una persona realiza la tarea y otra cronometra, si es posible. Registrar segundos de reloj desde el inicio definido hasta el fin correcto; no restar esperas ocurridas dentro del intervalo.</t>
        </is>
      </c>
    </row>
    <row r="8">
      <c r="A8" s="2" t="inlineStr">
        <is>
          <t>6. Comprobar</t>
        </is>
      </c>
      <c r="B8" s="2" t="inlineStr">
        <is>
          <t>Registrar Correcta solo si se obtuvo el resultado requerido. Error, Bloqueada y No disponible se conservan como incidencias; nunca sustituir sus tiempos por cero.</t>
        </is>
      </c>
    </row>
    <row r="9">
      <c r="A9" s="2" t="inlineStr">
        <is>
          <t>7. Completar</t>
        </is>
      </c>
      <c r="B9" s="2" t="inlineStr">
        <is>
          <t>En Mediciones, completar operador codificado, fecha, estados, segundos positivos, comparabilidad y referencias de evidencia de ambas modalidades. Los campos azules son de entrada; Q:S son fórmulas.</t>
        </is>
      </c>
    </row>
    <row r="10">
      <c r="A10" s="2" t="inlineStr">
        <is>
          <t>8. Calcular</t>
        </is>
      </c>
      <c r="B10" s="2" t="inlineStr">
        <is>
          <t>Un par válido exige: procedimiento manual y fuente completados en Preparación, combinación caso/tarea/repetición sin duplicar, orden indicado, caso y tarea de catálogo, repetición positiva, operador, fecha numérica, ambas tareas Correctas, ambos tiempos positivos, comparable Sí y dos evidencias. Resumen muestra únicamente pares válidos y reporta errores/bloqueos aparte.</t>
        </is>
      </c>
    </row>
    <row r="11">
      <c r="A11" s="2" t="inlineStr">
        <is>
          <t>Fórmulas</t>
        </is>
      </c>
      <c r="B11" s="2" t="inlineStr">
        <is>
          <t>Diferencia = segundos manuales - segundos LegalTriage. Variación = diferencia / segundos manuales. Un valor negativo indica que LegalTriage tardó más. La variación por tarea se obtiene de sus medias, no de promediar porcentajes.</t>
        </is>
      </c>
    </row>
    <row r="12">
      <c r="A12" s="2" t="inlineStr">
        <is>
          <t>Gemini</t>
        </is>
      </c>
      <c r="B12" s="2" t="inlineStr">
        <is>
          <t>T05/T06 pendientes mientras exista 503. Registrar el intento como Bloqueada con causa si se intenta, sin presentarlo como análisis completado. No usar tiempos de Gemini simulado como rendimiento real.</t>
        </is>
      </c>
    </row>
    <row r="13">
      <c r="A13" s="2" t="inlineStr">
        <is>
          <t>Versiones</t>
        </is>
      </c>
      <c r="B13" s="2" t="inlineStr">
        <is>
          <t>T04 solo es comparable si el procedimiento manual real conserva una versión anterior localizable. Si no existe, registrar No disponible / No comparable; no inventar un tiempo manual.</t>
        </is>
      </c>
    </row>
    <row r="14">
      <c r="A14" s="2" t="inlineStr">
        <is>
          <t>Límites</t>
        </is>
      </c>
      <c r="B14" s="2" t="inlineStr">
        <is>
          <t>Este piloto no mide exactitud jurídica, precisión de Gemini, satisfacción de abogados ni efecto causal general. No usar duraciones de npm test o de scripts como tiempos de atención.</t>
        </is>
      </c>
    </row>
    <row r="15">
      <c r="A15" s="2" t="inlineStr">
        <is>
          <t>Capacidad</t>
        </is>
      </c>
      <c r="B15" s="2" t="inlineStr">
        <is>
          <t>Se incluyen 200 filas de medición (2 a 201). Si necesitas más, amplía fórmulas, validaciones y rangos del Resumen. Las celdas sin datos permanecen vacías; Excel recalcula al abrir.</t>
        </is>
      </c>
    </row>
    <row r="16">
      <c r="A16" s="2" t="inlineStr">
        <is>
          <t>Privacidad</t>
        </is>
      </c>
      <c r="B16" s="2" t="inlineStr">
        <is>
          <t>Usar datos ficticios, códigos de operador y nombres de evidencia. No incluir contraseñas, API keys, enlaces privados ni expedientes reales.</t>
        </is>
      </c>
    </row>
  </sheetData>
  <autoFilter ref="A1:B16"/>
  <printOptions horizontalCentered="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10" customWidth="1" min="2" max="2"/>
  </cols>
  <sheetData>
    <row r="1" ht="35" customHeight="1">
      <c r="A1" s="1" t="inlineStr">
        <is>
          <t>Campo</t>
        </is>
      </c>
      <c r="B1" s="1" t="inlineStr">
        <is>
          <t>Valor por completar</t>
        </is>
      </c>
    </row>
    <row r="2">
      <c r="A2" s="2" t="inlineStr">
        <is>
          <t>Procedimiento manual observado</t>
        </is>
      </c>
      <c r="B2" s="3" t="inlineStr"/>
    </row>
    <row r="3">
      <c r="A3" s="2" t="inlineStr">
        <is>
          <t>Fecha de observación y fuente</t>
        </is>
      </c>
      <c r="B3" s="3" t="inlineStr"/>
    </row>
    <row r="4">
      <c r="A4" s="2" t="inlineStr">
        <is>
          <t>Validación del asesor / versión del protocolo</t>
        </is>
      </c>
      <c r="B4" s="3" t="inlineStr"/>
    </row>
    <row r="5">
      <c r="A5" s="2" t="inlineStr">
        <is>
          <t>Responsable de las mediciones (código)</t>
        </is>
      </c>
      <c r="B5" s="3" t="inlineStr"/>
    </row>
    <row r="6">
      <c r="A6" s="2" t="inlineStr">
        <is>
          <t>Operador y capacitación (código)</t>
        </is>
      </c>
      <c r="B6" s="3" t="inlineStr"/>
    </row>
    <row r="7">
      <c r="A7" s="2" t="inlineStr">
        <is>
          <t>Equipo y navegador</t>
        </is>
      </c>
      <c r="B7" s="3" t="inlineStr"/>
    </row>
    <row r="8">
      <c r="A8" s="2" t="inlineStr">
        <is>
          <t>Versión de LegalTriage</t>
        </is>
      </c>
      <c r="B8" s="3" t="inlineStr">
        <is>
          <t>beb1690 (actualizar si cambia antes de medir)</t>
        </is>
      </c>
    </row>
    <row r="9">
      <c r="A9" s="2" t="inlineStr">
        <is>
          <t>Red e incidencias conocidas</t>
        </is>
      </c>
      <c r="B9" s="3" t="inlineStr"/>
    </row>
    <row r="10">
      <c r="A10" s="2" t="inlineStr">
        <is>
          <t>Estado de Gemini al iniciar</t>
        </is>
      </c>
      <c r="B10" s="3" t="inlineStr">
        <is>
          <t>Por comprobar; se reportó HTTP 503 en la conversación. Sin mediciones de latencia registradas.</t>
        </is>
      </c>
    </row>
    <row r="11">
      <c r="A11" s="2" t="inlineStr">
        <is>
          <t>Modo de correo</t>
        </is>
      </c>
      <c r="B11" s="3" t="inlineStr"/>
    </row>
    <row r="12">
      <c r="A12" s="2" t="inlineStr">
        <is>
          <t>Fecha de la práctica excluida</t>
        </is>
      </c>
      <c r="B12" s="3" t="inlineStr"/>
    </row>
    <row r="13">
      <c r="A13" s="2" t="inlineStr">
        <is>
          <t>Fecha prevista del piloto</t>
        </is>
      </c>
      <c r="B13" s="3" t="inlineStr"/>
    </row>
    <row r="14">
      <c r="A14" s="2" t="inlineStr">
        <is>
          <t>Criterio de éxito y equivalencia aprobado</t>
        </is>
      </c>
      <c r="B14" s="3" t="inlineStr"/>
    </row>
  </sheetData>
  <autoFilter ref="A1:B14"/>
  <printOptions horizontalCentered="1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65" customWidth="1" min="3" max="3"/>
    <col width="70" customWidth="1" min="4" max="4"/>
    <col width="25" customWidth="1" min="5" max="5"/>
    <col width="42" customWidth="1" min="6" max="6"/>
    <col width="45" customWidth="1" min="7" max="7"/>
  </cols>
  <sheetData>
    <row r="1" ht="35" customHeight="1">
      <c r="A1" s="1" t="inlineStr">
        <is>
          <t>Código</t>
        </is>
      </c>
      <c r="B1" s="1" t="inlineStr">
        <is>
          <t>Especialidad</t>
        </is>
      </c>
      <c r="C1" s="1" t="inlineStr">
        <is>
          <t>Situación ficticia</t>
        </is>
      </c>
      <c r="D1" s="1" t="inlineStr">
        <is>
          <t>Materiales a preparar</t>
        </is>
      </c>
      <c r="E1" s="1" t="inlineStr">
        <is>
          <t>ID del caso en LegalTriage</t>
        </is>
      </c>
      <c r="F1" s="1" t="inlineStr">
        <is>
          <t>Referencia manual real</t>
        </is>
      </c>
      <c r="G1" s="1" t="inlineStr">
        <is>
          <t>Estado inicial verificado</t>
        </is>
      </c>
    </row>
    <row r="2">
      <c r="A2" s="2" t="inlineStr">
        <is>
          <t>FIC-01</t>
        </is>
      </c>
      <c r="B2" s="2" t="inlineStr">
        <is>
          <t>Penal</t>
        </is>
      </c>
      <c r="C2" s="2" t="inlineStr">
        <is>
          <t>Persona ficticia solicita orientación sobre el estado de una denuncia; sin evaluar plazos legales.</t>
        </is>
      </c>
      <c r="D2" s="2" t="inlineStr">
        <is>
          <t>PDF ficticio original + aclaración respondida + abogado disponible.</t>
        </is>
      </c>
      <c r="E2" s="2" t="inlineStr"/>
      <c r="F2" s="2" t="inlineStr"/>
      <c r="G2" s="2" t="inlineStr"/>
    </row>
    <row r="3">
      <c r="A3" s="2" t="inlineStr">
        <is>
          <t>FIC-02</t>
        </is>
      </c>
      <c r="B3" s="2" t="inlineStr">
        <is>
          <t>Laboral</t>
        </is>
      </c>
      <c r="C3" s="2" t="inlineStr">
        <is>
          <t>Persona ficticia solicita orientación sobre un cese sin comunicación escrita.</t>
        </is>
      </c>
      <c r="D3" s="2" t="inlineStr">
        <is>
          <t>PDF ficticio original + aclaración respondida + abogado disponible.</t>
        </is>
      </c>
      <c r="E3" s="2" t="inlineStr"/>
      <c r="F3" s="2" t="inlineStr"/>
      <c r="G3" s="2" t="inlineStr"/>
    </row>
    <row r="4">
      <c r="A4" s="2" t="inlineStr">
        <is>
          <t>FIC-03</t>
        </is>
      </c>
      <c r="B4" s="2" t="inlineStr">
        <is>
          <t>Civil</t>
        </is>
      </c>
      <c r="C4" s="2" t="inlineStr">
        <is>
          <t>Persona ficticia solicita revisión de un contrato de arrendamiento.</t>
        </is>
      </c>
      <c r="D4" s="2" t="inlineStr">
        <is>
          <t>PDF ficticio original + aclaración respondida + abogado disponible.</t>
        </is>
      </c>
      <c r="E4" s="2" t="inlineStr"/>
      <c r="F4" s="2" t="inlineStr"/>
      <c r="G4" s="2" t="inlineStr"/>
    </row>
  </sheetData>
  <autoFilter ref="A1:G4"/>
  <printOptions horizontalCentered="1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72" customWidth="1" min="3" max="3"/>
    <col width="65" customWidth="1" min="4" max="4"/>
    <col width="74" customWidth="1" min="5" max="5"/>
    <col width="75" customWidth="1" min="6" max="6"/>
    <col width="65" customWidth="1" min="7" max="7"/>
    <col width="58" customWidth="1" min="8" max="8"/>
  </cols>
  <sheetData>
    <row r="1" ht="35" customHeight="1">
      <c r="A1" s="1" t="inlineStr">
        <is>
          <t>Código</t>
        </is>
      </c>
      <c r="B1" s="1" t="inlineStr">
        <is>
          <t>Tarea</t>
        </is>
      </c>
      <c r="C1" s="1" t="inlineStr">
        <is>
          <t>Preparación común</t>
        </is>
      </c>
      <c r="D1" s="1" t="inlineStr">
        <is>
          <t>Inicio del cronómetro</t>
        </is>
      </c>
      <c r="E1" s="1" t="inlineStr">
        <is>
          <t>Fin del cronómetro / criterio de éxito</t>
        </is>
      </c>
      <c r="F1" s="1" t="inlineStr">
        <is>
          <t>Procedimiento manual por describir</t>
        </is>
      </c>
      <c r="G1" s="1" t="inlineStr">
        <is>
          <t>Acción en LegalTriage</t>
        </is>
      </c>
      <c r="H1" s="1" t="inlineStr">
        <is>
          <t>Situación</t>
        </is>
      </c>
    </row>
    <row r="2">
      <c r="A2" s="2" t="inlineStr">
        <is>
          <t>T01</t>
        </is>
      </c>
      <c r="B2" s="2" t="inlineStr">
        <is>
          <t>Localizar y abrir el documento original</t>
        </is>
      </c>
      <c r="C2" s="2" t="inlineStr">
        <is>
          <t>Caso registrado en ambas modalidades; identificar el mismo PDF original; comenzar en la vista/lista de casos acordada.</t>
        </is>
      </c>
      <c r="D2" s="2" t="inlineStr">
        <is>
          <t>El observador entrega el código del caso y la orden de abrir su original.</t>
        </is>
      </c>
      <c r="E2" s="2" t="inlineStr">
        <is>
          <t>El PDF correcto queda abierto y se confirma el código del caso.</t>
        </is>
      </c>
      <c r="F2" s="2" t="inlineStr">
        <is>
          <t>Documentar la búsqueda real en el medio que usa el estudio.</t>
        </is>
      </c>
      <c r="G2" s="2" t="inlineStr">
        <is>
          <t>Buscar caso → documentos → descargar/abrir original.</t>
        </is>
      </c>
      <c r="H2" s="2" t="inlineStr">
        <is>
          <t>Se puede preparar sin Gemini; validar línea base.</t>
        </is>
      </c>
    </row>
    <row r="3">
      <c r="A3" s="2" t="inlineStr">
        <is>
          <t>T02</t>
        </is>
      </c>
      <c r="B3" s="2" t="inlineStr">
        <is>
          <t>Asignar un caso previamente clasificado</t>
        </is>
      </c>
      <c r="C3" s="2" t="inlineStr">
        <is>
          <t>Caso sin responsable, categoría revisada y misma lista de abogados disponibles/cargas en ambas modalidades; regla de selección acordada.</t>
        </is>
      </c>
      <c r="D3" s="2" t="inlineStr">
        <is>
          <t>Se entrega el caso, su categoría y la orden de asignarlo.</t>
        </is>
      </c>
      <c r="E3" s="2" t="inlineStr">
        <is>
          <t>Se guarda el responsable que cumple la regla acordada y se verifica.</t>
        </is>
      </c>
      <c r="F3" s="2" t="inlineStr">
        <is>
          <t>Documentar cómo el estudio elige y registra actualmente al responsable.</t>
        </is>
      </c>
      <c r="G3" s="2" t="inlineStr">
        <is>
          <t>Asignar automáticamente al caso preparado; verificar responsable.</t>
        </is>
      </c>
      <c r="H3" s="2" t="inlineStr">
        <is>
          <t>Sin Gemini si el caso ya está registrado y revisado.</t>
        </is>
      </c>
    </row>
    <row r="4">
      <c r="A4" s="2" t="inlineStr">
        <is>
          <t>T03</t>
        </is>
      </c>
      <c r="B4" s="2" t="inlineStr">
        <is>
          <t>Localizar una aclaración ya recibida</t>
        </is>
      </c>
      <c r="C4" s="2" t="inlineStr">
        <is>
          <t>Misma pregunta y respuesta ficticia guardadas y accesibles antes de comenzar; no incluir espera de contestación.</t>
        </is>
      </c>
      <c r="D4" s="2" t="inlineStr">
        <is>
          <t>Se entrega el código del caso y se pide localizar la respuesta especificada.</t>
        </is>
      </c>
      <c r="E4" s="2" t="inlineStr">
        <is>
          <t>La respuesta correcta queda visible y se confirma a qué solicitud/caso pertenece.</t>
        </is>
      </c>
      <c r="F4" s="2" t="inlineStr">
        <is>
          <t>Documentar cómo se localiza actualmente una respuesta recibida.</t>
        </is>
      </c>
      <c r="G4" s="2" t="inlineStr">
        <is>
          <t>Abrir caso → Aclaraciones → respuesta registrada.</t>
        </is>
      </c>
      <c r="H4" s="2" t="inlineStr">
        <is>
          <t>Sin Gemini; solo consulta de una respuesta existente.</t>
        </is>
      </c>
    </row>
    <row r="5">
      <c r="A5" s="2" t="inlineStr">
        <is>
          <t>T04</t>
        </is>
      </c>
      <c r="B5" s="2" t="inlineStr">
        <is>
          <t>Consultar una versión anterior</t>
        </is>
      </c>
      <c r="C5" s="2" t="inlineStr">
        <is>
          <t>Dos revisiones distinguibles previamente guardadas en ambas modalidades; verificar que el método manual sí conserva versiones.</t>
        </is>
      </c>
      <c r="D5" s="2" t="inlineStr">
        <is>
          <t>Se pide mostrar una revisión anterior identificada, partiendo del listado de casos.</t>
        </is>
      </c>
      <c r="E5" s="2" t="inlineStr">
        <is>
          <t>Se muestra el texto solicitado y se acredita que no es la revisión vigente.</t>
        </is>
      </c>
      <c r="F5" s="2" t="inlineStr">
        <is>
          <t>Si no conserva versiones, marcar No disponible y No comparable.</t>
        </is>
      </c>
      <c r="G5" s="2" t="inlineStr">
        <is>
          <t>Historial del caso → versión guardada de la revisión solicitada.</t>
        </is>
      </c>
      <c r="H5" s="2" t="inlineStr">
        <is>
          <t>Opcional: requiere equivalencia real, no se planifica por defecto.</t>
        </is>
      </c>
    </row>
    <row r="6">
      <c r="A6" s="2" t="inlineStr">
        <is>
          <t>T05</t>
        </is>
      </c>
      <c r="B6" s="2" t="inlineStr">
        <is>
          <t>Registrar y clasificar una consulta nueva</t>
        </is>
      </c>
      <c r="C6" s="2" t="inlineStr">
        <is>
          <t>Mismo caso nuevo, datos preparados y resultado requerido; Gemini real disponible. Fijar alcance y evaluación de categoría antes de medir.</t>
        </is>
      </c>
      <c r="D6" s="2" t="inlineStr">
        <is>
          <t>Se ordena registrar y clasificar la consulta, con los datos disponibles.</t>
        </is>
      </c>
      <c r="E6" s="2" t="inlineStr">
        <is>
          <t>Consulta guardada y categoría revisada por una persona competente.</t>
        </is>
      </c>
      <c r="F6" s="2" t="inlineStr">
        <is>
          <t>Describir registro y clasificación actuales; validar equivalencia antes de medir.</t>
        </is>
      </c>
      <c r="G6" s="2" t="inlineStr">
        <is>
          <t>Formulario público + Gemini real + revisión del equipo.</t>
        </is>
      </c>
      <c r="H6" s="2" t="inlineStr">
        <is>
          <t>PENDIENTE por error 503 reportado. No usar un mock.</t>
        </is>
      </c>
    </row>
    <row r="7">
      <c r="A7" s="2" t="inlineStr">
        <is>
          <t>T06</t>
        </is>
      </c>
      <c r="B7" s="2" t="inlineStr">
        <is>
          <t>Obtener y verificar un análisis documental</t>
        </is>
      </c>
      <c r="C7" s="2" t="inlineStr">
        <is>
          <t>Mismo PDF y contenido mínimo exigido: resumen y hallazgos acreditados. Revisión profesional en ambas modalidades.</t>
        </is>
      </c>
      <c r="D7" s="2" t="inlineStr">
        <is>
          <t>Se ordena iniciar la revisión documental con el archivo disponible.</t>
        </is>
      </c>
      <c r="E7" s="2" t="inlineStr">
        <is>
          <t>Resultado requerido completado y verificado; incluye tiempo humano y espera dentro del intervalo.</t>
        </is>
      </c>
      <c r="F7" s="2" t="inlineStr">
        <is>
          <t>Documentar cómo se realiza y verifica actualmente el resumen del documento.</t>
        </is>
      </c>
      <c r="G7" s="2" t="inlineStr">
        <is>
          <t>Analizar con Gemini real + revisión humana del resultado.</t>
        </is>
      </c>
      <c r="H7" s="2" t="inlineStr">
        <is>
          <t>PENDIENTE por error 503. No concluir calidad jurídica solo por velocidad.</t>
        </is>
      </c>
    </row>
  </sheetData>
  <autoFilter ref="A1:H7"/>
  <printOptions horizontalCentered="1"/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S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3" customWidth="1" min="3" max="3"/>
    <col width="15" customWidth="1" min="4" max="4"/>
    <col width="26" customWidth="1" min="5" max="5"/>
    <col width="24" customWidth="1" min="6" max="6"/>
    <col width="23" customWidth="1" min="7" max="7"/>
    <col width="22" customWidth="1" min="8" max="8"/>
    <col width="22" customWidth="1" min="9" max="9"/>
    <col width="25" customWidth="1" min="10" max="10"/>
    <col width="24" customWidth="1" min="11" max="11"/>
    <col width="20" customWidth="1" min="12" max="12"/>
    <col width="38" customWidth="1" min="13" max="13"/>
    <col width="55" customWidth="1" min="14" max="14"/>
    <col width="35" customWidth="1" min="15" max="15"/>
    <col width="35" customWidth="1" min="16" max="16"/>
    <col width="23" customWidth="1" min="17" max="17"/>
    <col width="25" customWidth="1" min="18" max="18"/>
    <col width="26" customWidth="1" min="19" max="19"/>
  </cols>
  <sheetData>
    <row r="1" ht="35" customHeight="1">
      <c r="A1" s="1" t="inlineStr">
        <is>
          <t>ID del par</t>
        </is>
      </c>
      <c r="B1" s="1" t="inlineStr">
        <is>
          <t>Caso</t>
        </is>
      </c>
      <c r="C1" s="1" t="inlineStr">
        <is>
          <t>Tarea</t>
        </is>
      </c>
      <c r="D1" s="1" t="inlineStr">
        <is>
          <t>Repetición</t>
        </is>
      </c>
      <c r="E1" s="1" t="inlineStr">
        <is>
          <t>Orden</t>
        </is>
      </c>
      <c r="F1" s="1" t="inlineStr">
        <is>
          <t>Operador (código)</t>
        </is>
      </c>
      <c r="G1" s="1" t="inlineStr">
        <is>
          <t>Fecha y hora</t>
        </is>
      </c>
      <c r="H1" s="1" t="inlineStr">
        <is>
          <t>Resultado manual</t>
        </is>
      </c>
      <c r="I1" s="1" t="inlineStr">
        <is>
          <t>Segundos manual</t>
        </is>
      </c>
      <c r="J1" s="1" t="inlineStr">
        <is>
          <t>Resultado LegalTriage</t>
        </is>
      </c>
      <c r="K1" s="1" t="inlineStr">
        <is>
          <t>Segundos LegalTriage</t>
        </is>
      </c>
      <c r="L1" s="1" t="inlineStr">
        <is>
          <t>¿Comparable?</t>
        </is>
      </c>
      <c r="M1" s="1" t="inlineStr">
        <is>
          <t>Motivo no comparable</t>
        </is>
      </c>
      <c r="N1" s="1" t="inlineStr">
        <is>
          <t>Incidencias / espera / reintentos</t>
        </is>
      </c>
      <c r="O1" s="1" t="inlineStr">
        <is>
          <t>Evidencia manual</t>
        </is>
      </c>
      <c r="P1" s="1" t="inlineStr">
        <is>
          <t>Evidencia LegalTriage</t>
        </is>
      </c>
      <c r="Q1" s="1" t="inlineStr">
        <is>
          <t>Diferencia (s)</t>
        </is>
      </c>
      <c r="R1" s="1" t="inlineStr">
        <is>
          <t>Variación de tiempo (%)</t>
        </is>
      </c>
      <c r="S1" s="1" t="inlineStr">
        <is>
          <t>Par válido (automático)</t>
        </is>
      </c>
    </row>
    <row r="2">
      <c r="A2" s="3" t="inlineStr">
        <is>
          <t>P-01</t>
        </is>
      </c>
      <c r="B2" s="3" t="inlineStr">
        <is>
          <t>FIC-01</t>
        </is>
      </c>
      <c r="C2" s="3" t="inlineStr">
        <is>
          <t>T01</t>
        </is>
      </c>
      <c r="D2" s="3" t="n">
        <v>1</v>
      </c>
      <c r="E2" s="3" t="inlineStr">
        <is>
          <t>Manual → LegalTriage</t>
        </is>
      </c>
      <c r="F2" s="3" t="inlineStr"/>
      <c r="G2" s="4" t="inlineStr"/>
      <c r="H2" s="3" t="inlineStr">
        <is>
          <t>Pendiente</t>
        </is>
      </c>
      <c r="I2" s="5" t="inlineStr"/>
      <c r="J2" s="3" t="inlineStr">
        <is>
          <t>Pendiente</t>
        </is>
      </c>
      <c r="K2" s="5" t="inlineStr"/>
      <c r="L2" s="3" t="inlineStr">
        <is>
          <t>Pendiente</t>
        </is>
      </c>
      <c r="M2" s="3" t="inlineStr"/>
      <c r="N2" s="3" t="inlineStr"/>
      <c r="O2" s="3" t="inlineStr"/>
      <c r="P2" s="3" t="inlineStr"/>
      <c r="Q2" s="6">
        <f>IF(S2="Sí",I2-K2,"")</f>
        <v/>
      </c>
      <c r="R2" s="7">
        <f>IF(S2="Sí",Q2/I2,"")</f>
        <v/>
      </c>
      <c r="S2" s="8">
        <f>IF(AND('Preparación'!$B$2&lt;&gt;"",'Preparación'!$B$3&lt;&gt;"",COUNTIF(CodigosCasos,B2)=1,COUNTIF(CodigosTareas,C2)=1,COUNTIFS($B$2:$B$201,B2,$C$2:$C$201,C2,$D$2:$D$201,D2)=1,ISNUMBER(D2),D2&gt;0,INT(D2)=D2,D2&lt;=100,OR(E2="Manual → LegalTriage",E2="LegalTriage → Manual"),F2&lt;&gt;"",ISNUMBER(G2),G2&gt;0,H2="Correcta",J2="Correcta",L2="Sí",ISNUMBER(I2),ISNUMBER(K2),I2&gt;0,K2&gt;0,O2&lt;&gt;"",P2&lt;&gt;""),"Sí","")</f>
        <v/>
      </c>
    </row>
    <row r="3">
      <c r="A3" s="3" t="inlineStr">
        <is>
          <t>P-02</t>
        </is>
      </c>
      <c r="B3" s="3" t="inlineStr">
        <is>
          <t>FIC-01</t>
        </is>
      </c>
      <c r="C3" s="3" t="inlineStr">
        <is>
          <t>T02</t>
        </is>
      </c>
      <c r="D3" s="3" t="n">
        <v>1</v>
      </c>
      <c r="E3" s="3" t="inlineStr">
        <is>
          <t>LegalTriage → Manual</t>
        </is>
      </c>
      <c r="F3" s="3" t="inlineStr"/>
      <c r="G3" s="4" t="inlineStr"/>
      <c r="H3" s="3" t="inlineStr">
        <is>
          <t>Pendiente</t>
        </is>
      </c>
      <c r="I3" s="5" t="inlineStr"/>
      <c r="J3" s="3" t="inlineStr">
        <is>
          <t>Pendiente</t>
        </is>
      </c>
      <c r="K3" s="5" t="inlineStr"/>
      <c r="L3" s="3" t="inlineStr">
        <is>
          <t>Pendiente</t>
        </is>
      </c>
      <c r="M3" s="3" t="inlineStr"/>
      <c r="N3" s="3" t="inlineStr"/>
      <c r="O3" s="3" t="inlineStr"/>
      <c r="P3" s="3" t="inlineStr"/>
      <c r="Q3" s="6">
        <f>IF(S3="Sí",I3-K3,"")</f>
        <v/>
      </c>
      <c r="R3" s="7">
        <f>IF(S3="Sí",Q3/I3,"")</f>
        <v/>
      </c>
      <c r="S3" s="8">
        <f>IF(AND('Preparación'!$B$2&lt;&gt;"",'Preparación'!$B$3&lt;&gt;"",COUNTIF(CodigosCasos,B3)=1,COUNTIF(CodigosTareas,C3)=1,COUNTIFS($B$2:$B$201,B3,$C$2:$C$201,C3,$D$2:$D$201,D3)=1,ISNUMBER(D3),D3&gt;0,INT(D3)=D3,D3&lt;=100,OR(E3="Manual → LegalTriage",E3="LegalTriage → Manual"),F3&lt;&gt;"",ISNUMBER(G3),G3&gt;0,H3="Correcta",J3="Correcta",L3="Sí",ISNUMBER(I3),ISNUMBER(K3),I3&gt;0,K3&gt;0,O3&lt;&gt;"",P3&lt;&gt;""),"Sí","")</f>
        <v/>
      </c>
    </row>
    <row r="4">
      <c r="A4" s="3" t="inlineStr">
        <is>
          <t>P-03</t>
        </is>
      </c>
      <c r="B4" s="3" t="inlineStr">
        <is>
          <t>FIC-01</t>
        </is>
      </c>
      <c r="C4" s="3" t="inlineStr">
        <is>
          <t>T03</t>
        </is>
      </c>
      <c r="D4" s="3" t="n">
        <v>1</v>
      </c>
      <c r="E4" s="3" t="inlineStr">
        <is>
          <t>Manual → LegalTriage</t>
        </is>
      </c>
      <c r="F4" s="3" t="inlineStr"/>
      <c r="G4" s="4" t="inlineStr"/>
      <c r="H4" s="3" t="inlineStr">
        <is>
          <t>Pendiente</t>
        </is>
      </c>
      <c r="I4" s="5" t="inlineStr"/>
      <c r="J4" s="3" t="inlineStr">
        <is>
          <t>Pendiente</t>
        </is>
      </c>
      <c r="K4" s="5" t="inlineStr"/>
      <c r="L4" s="3" t="inlineStr">
        <is>
          <t>Pendiente</t>
        </is>
      </c>
      <c r="M4" s="3" t="inlineStr"/>
      <c r="N4" s="3" t="inlineStr"/>
      <c r="O4" s="3" t="inlineStr"/>
      <c r="P4" s="3" t="inlineStr"/>
      <c r="Q4" s="6">
        <f>IF(S4="Sí",I4-K4,"")</f>
        <v/>
      </c>
      <c r="R4" s="7">
        <f>IF(S4="Sí",Q4/I4,"")</f>
        <v/>
      </c>
      <c r="S4" s="8">
        <f>IF(AND('Preparación'!$B$2&lt;&gt;"",'Preparación'!$B$3&lt;&gt;"",COUNTIF(CodigosCasos,B4)=1,COUNTIF(CodigosTareas,C4)=1,COUNTIFS($B$2:$B$201,B4,$C$2:$C$201,C4,$D$2:$D$201,D4)=1,ISNUMBER(D4),D4&gt;0,INT(D4)=D4,D4&lt;=100,OR(E4="Manual → LegalTriage",E4="LegalTriage → Manual"),F4&lt;&gt;"",ISNUMBER(G4),G4&gt;0,H4="Correcta",J4="Correcta",L4="Sí",ISNUMBER(I4),ISNUMBER(K4),I4&gt;0,K4&gt;0,O4&lt;&gt;"",P4&lt;&gt;""),"Sí","")</f>
        <v/>
      </c>
    </row>
    <row r="5">
      <c r="A5" s="3" t="inlineStr">
        <is>
          <t>P-04</t>
        </is>
      </c>
      <c r="B5" s="3" t="inlineStr">
        <is>
          <t>FIC-02</t>
        </is>
      </c>
      <c r="C5" s="3" t="inlineStr">
        <is>
          <t>T01</t>
        </is>
      </c>
      <c r="D5" s="3" t="n">
        <v>1</v>
      </c>
      <c r="E5" s="3" t="inlineStr">
        <is>
          <t>LegalTriage → Manual</t>
        </is>
      </c>
      <c r="F5" s="3" t="inlineStr"/>
      <c r="G5" s="4" t="inlineStr"/>
      <c r="H5" s="3" t="inlineStr">
        <is>
          <t>Pendiente</t>
        </is>
      </c>
      <c r="I5" s="5" t="inlineStr"/>
      <c r="J5" s="3" t="inlineStr">
        <is>
          <t>Pendiente</t>
        </is>
      </c>
      <c r="K5" s="5" t="inlineStr"/>
      <c r="L5" s="3" t="inlineStr">
        <is>
          <t>Pendiente</t>
        </is>
      </c>
      <c r="M5" s="3" t="inlineStr"/>
      <c r="N5" s="3" t="inlineStr"/>
      <c r="O5" s="3" t="inlineStr"/>
      <c r="P5" s="3" t="inlineStr"/>
      <c r="Q5" s="6">
        <f>IF(S5="Sí",I5-K5,"")</f>
        <v/>
      </c>
      <c r="R5" s="7">
        <f>IF(S5="Sí",Q5/I5,"")</f>
        <v/>
      </c>
      <c r="S5" s="8">
        <f>IF(AND('Preparación'!$B$2&lt;&gt;"",'Preparación'!$B$3&lt;&gt;"",COUNTIF(CodigosCasos,B5)=1,COUNTIF(CodigosTareas,C5)=1,COUNTIFS($B$2:$B$201,B5,$C$2:$C$201,C5,$D$2:$D$201,D5)=1,ISNUMBER(D5),D5&gt;0,INT(D5)=D5,D5&lt;=100,OR(E5="Manual → LegalTriage",E5="LegalTriage → Manual"),F5&lt;&gt;"",ISNUMBER(G5),G5&gt;0,H5="Correcta",J5="Correcta",L5="Sí",ISNUMBER(I5),ISNUMBER(K5),I5&gt;0,K5&gt;0,O5&lt;&gt;"",P5&lt;&gt;""),"Sí","")</f>
        <v/>
      </c>
    </row>
    <row r="6">
      <c r="A6" s="3" t="inlineStr">
        <is>
          <t>P-05</t>
        </is>
      </c>
      <c r="B6" s="3" t="inlineStr">
        <is>
          <t>FIC-02</t>
        </is>
      </c>
      <c r="C6" s="3" t="inlineStr">
        <is>
          <t>T02</t>
        </is>
      </c>
      <c r="D6" s="3" t="n">
        <v>1</v>
      </c>
      <c r="E6" s="3" t="inlineStr">
        <is>
          <t>Manual → LegalTriage</t>
        </is>
      </c>
      <c r="F6" s="3" t="inlineStr"/>
      <c r="G6" s="4" t="inlineStr"/>
      <c r="H6" s="3" t="inlineStr">
        <is>
          <t>Pendiente</t>
        </is>
      </c>
      <c r="I6" s="5" t="inlineStr"/>
      <c r="J6" s="3" t="inlineStr">
        <is>
          <t>Pendiente</t>
        </is>
      </c>
      <c r="K6" s="5" t="inlineStr"/>
      <c r="L6" s="3" t="inlineStr">
        <is>
          <t>Pendiente</t>
        </is>
      </c>
      <c r="M6" s="3" t="inlineStr"/>
      <c r="N6" s="3" t="inlineStr"/>
      <c r="O6" s="3" t="inlineStr"/>
      <c r="P6" s="3" t="inlineStr"/>
      <c r="Q6" s="6">
        <f>IF(S6="Sí",I6-K6,"")</f>
        <v/>
      </c>
      <c r="R6" s="7">
        <f>IF(S6="Sí",Q6/I6,"")</f>
        <v/>
      </c>
      <c r="S6" s="8">
        <f>IF(AND('Preparación'!$B$2&lt;&gt;"",'Preparación'!$B$3&lt;&gt;"",COUNTIF(CodigosCasos,B6)=1,COUNTIF(CodigosTareas,C6)=1,COUNTIFS($B$2:$B$201,B6,$C$2:$C$201,C6,$D$2:$D$201,D6)=1,ISNUMBER(D6),D6&gt;0,INT(D6)=D6,D6&lt;=100,OR(E6="Manual → LegalTriage",E6="LegalTriage → Manual"),F6&lt;&gt;"",ISNUMBER(G6),G6&gt;0,H6="Correcta",J6="Correcta",L6="Sí",ISNUMBER(I6),ISNUMBER(K6),I6&gt;0,K6&gt;0,O6&lt;&gt;"",P6&lt;&gt;""),"Sí","")</f>
        <v/>
      </c>
    </row>
    <row r="7">
      <c r="A7" s="3" t="inlineStr">
        <is>
          <t>P-06</t>
        </is>
      </c>
      <c r="B7" s="3" t="inlineStr">
        <is>
          <t>FIC-02</t>
        </is>
      </c>
      <c r="C7" s="3" t="inlineStr">
        <is>
          <t>T03</t>
        </is>
      </c>
      <c r="D7" s="3" t="n">
        <v>1</v>
      </c>
      <c r="E7" s="3" t="inlineStr">
        <is>
          <t>LegalTriage → Manual</t>
        </is>
      </c>
      <c r="F7" s="3" t="inlineStr"/>
      <c r="G7" s="4" t="inlineStr"/>
      <c r="H7" s="3" t="inlineStr">
        <is>
          <t>Pendiente</t>
        </is>
      </c>
      <c r="I7" s="5" t="inlineStr"/>
      <c r="J7" s="3" t="inlineStr">
        <is>
          <t>Pendiente</t>
        </is>
      </c>
      <c r="K7" s="5" t="inlineStr"/>
      <c r="L7" s="3" t="inlineStr">
        <is>
          <t>Pendiente</t>
        </is>
      </c>
      <c r="M7" s="3" t="inlineStr"/>
      <c r="N7" s="3" t="inlineStr"/>
      <c r="O7" s="3" t="inlineStr"/>
      <c r="P7" s="3" t="inlineStr"/>
      <c r="Q7" s="6">
        <f>IF(S7="Sí",I7-K7,"")</f>
        <v/>
      </c>
      <c r="R7" s="7">
        <f>IF(S7="Sí",Q7/I7,"")</f>
        <v/>
      </c>
      <c r="S7" s="8">
        <f>IF(AND('Preparación'!$B$2&lt;&gt;"",'Preparación'!$B$3&lt;&gt;"",COUNTIF(CodigosCasos,B7)=1,COUNTIF(CodigosTareas,C7)=1,COUNTIFS($B$2:$B$201,B7,$C$2:$C$201,C7,$D$2:$D$201,D7)=1,ISNUMBER(D7),D7&gt;0,INT(D7)=D7,D7&lt;=100,OR(E7="Manual → LegalTriage",E7="LegalTriage → Manual"),F7&lt;&gt;"",ISNUMBER(G7),G7&gt;0,H7="Correcta",J7="Correcta",L7="Sí",ISNUMBER(I7),ISNUMBER(K7),I7&gt;0,K7&gt;0,O7&lt;&gt;"",P7&lt;&gt;""),"Sí","")</f>
        <v/>
      </c>
    </row>
    <row r="8">
      <c r="A8" s="3" t="inlineStr">
        <is>
          <t>P-07</t>
        </is>
      </c>
      <c r="B8" s="3" t="inlineStr">
        <is>
          <t>FIC-03</t>
        </is>
      </c>
      <c r="C8" s="3" t="inlineStr">
        <is>
          <t>T01</t>
        </is>
      </c>
      <c r="D8" s="3" t="n">
        <v>1</v>
      </c>
      <c r="E8" s="3" t="inlineStr">
        <is>
          <t>Manual → LegalTriage</t>
        </is>
      </c>
      <c r="F8" s="3" t="inlineStr"/>
      <c r="G8" s="4" t="inlineStr"/>
      <c r="H8" s="3" t="inlineStr">
        <is>
          <t>Pendiente</t>
        </is>
      </c>
      <c r="I8" s="5" t="inlineStr"/>
      <c r="J8" s="3" t="inlineStr">
        <is>
          <t>Pendiente</t>
        </is>
      </c>
      <c r="K8" s="5" t="inlineStr"/>
      <c r="L8" s="3" t="inlineStr">
        <is>
          <t>Pendiente</t>
        </is>
      </c>
      <c r="M8" s="3" t="inlineStr"/>
      <c r="N8" s="3" t="inlineStr"/>
      <c r="O8" s="3" t="inlineStr"/>
      <c r="P8" s="3" t="inlineStr"/>
      <c r="Q8" s="6">
        <f>IF(S8="Sí",I8-K8,"")</f>
        <v/>
      </c>
      <c r="R8" s="7">
        <f>IF(S8="Sí",Q8/I8,"")</f>
        <v/>
      </c>
      <c r="S8" s="8">
        <f>IF(AND('Preparación'!$B$2&lt;&gt;"",'Preparación'!$B$3&lt;&gt;"",COUNTIF(CodigosCasos,B8)=1,COUNTIF(CodigosTareas,C8)=1,COUNTIFS($B$2:$B$201,B8,$C$2:$C$201,C8,$D$2:$D$201,D8)=1,ISNUMBER(D8),D8&gt;0,INT(D8)=D8,D8&lt;=100,OR(E8="Manual → LegalTriage",E8="LegalTriage → Manual"),F8&lt;&gt;"",ISNUMBER(G8),G8&gt;0,H8="Correcta",J8="Correcta",L8="Sí",ISNUMBER(I8),ISNUMBER(K8),I8&gt;0,K8&gt;0,O8&lt;&gt;"",P8&lt;&gt;""),"Sí","")</f>
        <v/>
      </c>
    </row>
    <row r="9">
      <c r="A9" s="3" t="inlineStr">
        <is>
          <t>P-08</t>
        </is>
      </c>
      <c r="B9" s="3" t="inlineStr">
        <is>
          <t>FIC-03</t>
        </is>
      </c>
      <c r="C9" s="3" t="inlineStr">
        <is>
          <t>T02</t>
        </is>
      </c>
      <c r="D9" s="3" t="n">
        <v>1</v>
      </c>
      <c r="E9" s="3" t="inlineStr">
        <is>
          <t>LegalTriage → Manual</t>
        </is>
      </c>
      <c r="F9" s="3" t="inlineStr"/>
      <c r="G9" s="4" t="inlineStr"/>
      <c r="H9" s="3" t="inlineStr">
        <is>
          <t>Pendiente</t>
        </is>
      </c>
      <c r="I9" s="5" t="inlineStr"/>
      <c r="J9" s="3" t="inlineStr">
        <is>
          <t>Pendiente</t>
        </is>
      </c>
      <c r="K9" s="5" t="inlineStr"/>
      <c r="L9" s="3" t="inlineStr">
        <is>
          <t>Pendiente</t>
        </is>
      </c>
      <c r="M9" s="3" t="inlineStr"/>
      <c r="N9" s="3" t="inlineStr"/>
      <c r="O9" s="3" t="inlineStr"/>
      <c r="P9" s="3" t="inlineStr"/>
      <c r="Q9" s="6">
        <f>IF(S9="Sí",I9-K9,"")</f>
        <v/>
      </c>
      <c r="R9" s="7">
        <f>IF(S9="Sí",Q9/I9,"")</f>
        <v/>
      </c>
      <c r="S9" s="8">
        <f>IF(AND('Preparación'!$B$2&lt;&gt;"",'Preparación'!$B$3&lt;&gt;"",COUNTIF(CodigosCasos,B9)=1,COUNTIF(CodigosTareas,C9)=1,COUNTIFS($B$2:$B$201,B9,$C$2:$C$201,C9,$D$2:$D$201,D9)=1,ISNUMBER(D9),D9&gt;0,INT(D9)=D9,D9&lt;=100,OR(E9="Manual → LegalTriage",E9="LegalTriage → Manual"),F9&lt;&gt;"",ISNUMBER(G9),G9&gt;0,H9="Correcta",J9="Correcta",L9="Sí",ISNUMBER(I9),ISNUMBER(K9),I9&gt;0,K9&gt;0,O9&lt;&gt;"",P9&lt;&gt;""),"Sí","")</f>
        <v/>
      </c>
    </row>
    <row r="10">
      <c r="A10" s="3" t="inlineStr">
        <is>
          <t>P-09</t>
        </is>
      </c>
      <c r="B10" s="3" t="inlineStr">
        <is>
          <t>FIC-03</t>
        </is>
      </c>
      <c r="C10" s="3" t="inlineStr">
        <is>
          <t>T03</t>
        </is>
      </c>
      <c r="D10" s="3" t="n">
        <v>1</v>
      </c>
      <c r="E10" s="3" t="inlineStr">
        <is>
          <t>Manual → LegalTriage</t>
        </is>
      </c>
      <c r="F10" s="3" t="inlineStr"/>
      <c r="G10" s="4" t="inlineStr"/>
      <c r="H10" s="3" t="inlineStr">
        <is>
          <t>Pendiente</t>
        </is>
      </c>
      <c r="I10" s="5" t="inlineStr"/>
      <c r="J10" s="3" t="inlineStr">
        <is>
          <t>Pendiente</t>
        </is>
      </c>
      <c r="K10" s="5" t="inlineStr"/>
      <c r="L10" s="3" t="inlineStr">
        <is>
          <t>Pendiente</t>
        </is>
      </c>
      <c r="M10" s="3" t="inlineStr"/>
      <c r="N10" s="3" t="inlineStr"/>
      <c r="O10" s="3" t="inlineStr"/>
      <c r="P10" s="3" t="inlineStr"/>
      <c r="Q10" s="6">
        <f>IF(S10="Sí",I10-K10,"")</f>
        <v/>
      </c>
      <c r="R10" s="7">
        <f>IF(S10="Sí",Q10/I10,"")</f>
        <v/>
      </c>
      <c r="S10" s="8">
        <f>IF(AND('Preparación'!$B$2&lt;&gt;"",'Preparación'!$B$3&lt;&gt;"",COUNTIF(CodigosCasos,B10)=1,COUNTIF(CodigosTareas,C10)=1,COUNTIFS($B$2:$B$201,B10,$C$2:$C$201,C10,$D$2:$D$201,D10)=1,ISNUMBER(D10),D10&gt;0,INT(D10)=D10,D10&lt;=100,OR(E10="Manual → LegalTriage",E10="LegalTriage → Manual"),F10&lt;&gt;"",ISNUMBER(G10),G10&gt;0,H10="Correcta",J10="Correcta",L10="Sí",ISNUMBER(I10),ISNUMBER(K10),I10&gt;0,K10&gt;0,O10&lt;&gt;"",P10&lt;&gt;""),"Sí","")</f>
        <v/>
      </c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4" t="inlineStr"/>
      <c r="H11" s="3" t="inlineStr"/>
      <c r="I11" s="5" t="inlineStr"/>
      <c r="J11" s="3" t="inlineStr"/>
      <c r="K11" s="5" t="inlineStr"/>
      <c r="L11" s="3" t="inlineStr"/>
      <c r="M11" s="3" t="inlineStr"/>
      <c r="N11" s="3" t="inlineStr"/>
      <c r="O11" s="3" t="inlineStr"/>
      <c r="P11" s="3" t="inlineStr"/>
      <c r="Q11" s="6">
        <f>IF(S11="Sí",I11-K11,"")</f>
        <v/>
      </c>
      <c r="R11" s="7">
        <f>IF(S11="Sí",Q11/I11,"")</f>
        <v/>
      </c>
      <c r="S11" s="8">
        <f>IF(AND('Preparación'!$B$2&lt;&gt;"",'Preparación'!$B$3&lt;&gt;"",COUNTIF(CodigosCasos,B11)=1,COUNTIF(CodigosTareas,C11)=1,COUNTIFS($B$2:$B$201,B11,$C$2:$C$201,C11,$D$2:$D$201,D11)=1,ISNUMBER(D11),D11&gt;0,INT(D11)=D11,D11&lt;=100,OR(E11="Manual → LegalTriage",E11="LegalTriage → Manual"),F11&lt;&gt;"",ISNUMBER(G11),G11&gt;0,H11="Correcta",J11="Correcta",L11="Sí",ISNUMBER(I11),ISNUMBER(K11),I11&gt;0,K11&gt;0,O11&lt;&gt;"",P11&lt;&gt;""),"Sí","")</f>
        <v/>
      </c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4" t="inlineStr"/>
      <c r="H12" s="3" t="inlineStr"/>
      <c r="I12" s="5" t="inlineStr"/>
      <c r="J12" s="3" t="inlineStr"/>
      <c r="K12" s="5" t="inlineStr"/>
      <c r="L12" s="3" t="inlineStr"/>
      <c r="M12" s="3" t="inlineStr"/>
      <c r="N12" s="3" t="inlineStr"/>
      <c r="O12" s="3" t="inlineStr"/>
      <c r="P12" s="3" t="inlineStr"/>
      <c r="Q12" s="6">
        <f>IF(S12="Sí",I12-K12,"")</f>
        <v/>
      </c>
      <c r="R12" s="7">
        <f>IF(S12="Sí",Q12/I12,"")</f>
        <v/>
      </c>
      <c r="S12" s="8">
        <f>IF(AND('Preparación'!$B$2&lt;&gt;"",'Preparación'!$B$3&lt;&gt;"",COUNTIF(CodigosCasos,B12)=1,COUNTIF(CodigosTareas,C12)=1,COUNTIFS($B$2:$B$201,B12,$C$2:$C$201,C12,$D$2:$D$201,D12)=1,ISNUMBER(D12),D12&gt;0,INT(D12)=D12,D12&lt;=100,OR(E12="Manual → LegalTriage",E12="LegalTriage → Manual"),F12&lt;&gt;"",ISNUMBER(G12),G12&gt;0,H12="Correcta",J12="Correcta",L12="Sí",ISNUMBER(I12),ISNUMBER(K12),I12&gt;0,K12&gt;0,O12&lt;&gt;"",P12&lt;&gt;""),"Sí","")</f>
        <v/>
      </c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4" t="inlineStr"/>
      <c r="H13" s="3" t="inlineStr"/>
      <c r="I13" s="5" t="inlineStr"/>
      <c r="J13" s="3" t="inlineStr"/>
      <c r="K13" s="5" t="inlineStr"/>
      <c r="L13" s="3" t="inlineStr"/>
      <c r="M13" s="3" t="inlineStr"/>
      <c r="N13" s="3" t="inlineStr"/>
      <c r="O13" s="3" t="inlineStr"/>
      <c r="P13" s="3" t="inlineStr"/>
      <c r="Q13" s="6">
        <f>IF(S13="Sí",I13-K13,"")</f>
        <v/>
      </c>
      <c r="R13" s="7">
        <f>IF(S13="Sí",Q13/I13,"")</f>
        <v/>
      </c>
      <c r="S13" s="8">
        <f>IF(AND('Preparación'!$B$2&lt;&gt;"",'Preparación'!$B$3&lt;&gt;"",COUNTIF(CodigosCasos,B13)=1,COUNTIF(CodigosTareas,C13)=1,COUNTIFS($B$2:$B$201,B13,$C$2:$C$201,C13,$D$2:$D$201,D13)=1,ISNUMBER(D13),D13&gt;0,INT(D13)=D13,D13&lt;=100,OR(E13="Manual → LegalTriage",E13="LegalTriage → Manual"),F13&lt;&gt;"",ISNUMBER(G13),G13&gt;0,H13="Correcta",J13="Correcta",L13="Sí",ISNUMBER(I13),ISNUMBER(K13),I13&gt;0,K13&gt;0,O13&lt;&gt;"",P13&lt;&gt;""),"Sí","")</f>
        <v/>
      </c>
    </row>
    <row r="14">
      <c r="A14" s="3" t="inlineStr"/>
      <c r="B14" s="3" t="inlineStr"/>
      <c r="C14" s="3" t="inlineStr"/>
      <c r="D14" s="3" t="inlineStr"/>
      <c r="E14" s="3" t="inlineStr"/>
      <c r="F14" s="3" t="inlineStr"/>
      <c r="G14" s="4" t="inlineStr"/>
      <c r="H14" s="3" t="inlineStr"/>
      <c r="I14" s="5" t="inlineStr"/>
      <c r="J14" s="3" t="inlineStr"/>
      <c r="K14" s="5" t="inlineStr"/>
      <c r="L14" s="3" t="inlineStr"/>
      <c r="M14" s="3" t="inlineStr"/>
      <c r="N14" s="3" t="inlineStr"/>
      <c r="O14" s="3" t="inlineStr"/>
      <c r="P14" s="3" t="inlineStr"/>
      <c r="Q14" s="6">
        <f>IF(S14="Sí",I14-K14,"")</f>
        <v/>
      </c>
      <c r="R14" s="7">
        <f>IF(S14="Sí",Q14/I14,"")</f>
        <v/>
      </c>
      <c r="S14" s="8">
        <f>IF(AND('Preparación'!$B$2&lt;&gt;"",'Preparación'!$B$3&lt;&gt;"",COUNTIF(CodigosCasos,B14)=1,COUNTIF(CodigosTareas,C14)=1,COUNTIFS($B$2:$B$201,B14,$C$2:$C$201,C14,$D$2:$D$201,D14)=1,ISNUMBER(D14),D14&gt;0,INT(D14)=D14,D14&lt;=100,OR(E14="Manual → LegalTriage",E14="LegalTriage → Manual"),F14&lt;&gt;"",ISNUMBER(G14),G14&gt;0,H14="Correcta",J14="Correcta",L14="Sí",ISNUMBER(I14),ISNUMBER(K14),I14&gt;0,K14&gt;0,O14&lt;&gt;"",P14&lt;&gt;""),"Sí","")</f>
        <v/>
      </c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4" t="inlineStr"/>
      <c r="H15" s="3" t="inlineStr"/>
      <c r="I15" s="5" t="inlineStr"/>
      <c r="J15" s="3" t="inlineStr"/>
      <c r="K15" s="5" t="inlineStr"/>
      <c r="L15" s="3" t="inlineStr"/>
      <c r="M15" s="3" t="inlineStr"/>
      <c r="N15" s="3" t="inlineStr"/>
      <c r="O15" s="3" t="inlineStr"/>
      <c r="P15" s="3" t="inlineStr"/>
      <c r="Q15" s="6">
        <f>IF(S15="Sí",I15-K15,"")</f>
        <v/>
      </c>
      <c r="R15" s="7">
        <f>IF(S15="Sí",Q15/I15,"")</f>
        <v/>
      </c>
      <c r="S15" s="8">
        <f>IF(AND('Preparación'!$B$2&lt;&gt;"",'Preparación'!$B$3&lt;&gt;"",COUNTIF(CodigosCasos,B15)=1,COUNTIF(CodigosTareas,C15)=1,COUNTIFS($B$2:$B$201,B15,$C$2:$C$201,C15,$D$2:$D$201,D15)=1,ISNUMBER(D15),D15&gt;0,INT(D15)=D15,D15&lt;=100,OR(E15="Manual → LegalTriage",E15="LegalTriage → Manual"),F15&lt;&gt;"",ISNUMBER(G15),G15&gt;0,H15="Correcta",J15="Correcta",L15="Sí",ISNUMBER(I15),ISNUMBER(K15),I15&gt;0,K15&gt;0,O15&lt;&gt;"",P15&lt;&gt;""),"Sí","")</f>
        <v/>
      </c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4" t="inlineStr"/>
      <c r="H16" s="3" t="inlineStr"/>
      <c r="I16" s="5" t="inlineStr"/>
      <c r="J16" s="3" t="inlineStr"/>
      <c r="K16" s="5" t="inlineStr"/>
      <c r="L16" s="3" t="inlineStr"/>
      <c r="M16" s="3" t="inlineStr"/>
      <c r="N16" s="3" t="inlineStr"/>
      <c r="O16" s="3" t="inlineStr"/>
      <c r="P16" s="3" t="inlineStr"/>
      <c r="Q16" s="6">
        <f>IF(S16="Sí",I16-K16,"")</f>
        <v/>
      </c>
      <c r="R16" s="7">
        <f>IF(S16="Sí",Q16/I16,"")</f>
        <v/>
      </c>
      <c r="S16" s="8">
        <f>IF(AND('Preparación'!$B$2&lt;&gt;"",'Preparación'!$B$3&lt;&gt;"",COUNTIF(CodigosCasos,B16)=1,COUNTIF(CodigosTareas,C16)=1,COUNTIFS($B$2:$B$201,B16,$C$2:$C$201,C16,$D$2:$D$201,D16)=1,ISNUMBER(D16),D16&gt;0,INT(D16)=D16,D16&lt;=100,OR(E16="Manual → LegalTriage",E16="LegalTriage → Manual"),F16&lt;&gt;"",ISNUMBER(G16),G16&gt;0,H16="Correcta",J16="Correcta",L16="Sí",ISNUMBER(I16),ISNUMBER(K16),I16&gt;0,K16&gt;0,O16&lt;&gt;"",P16&lt;&gt;""),"Sí","")</f>
        <v/>
      </c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4" t="inlineStr"/>
      <c r="H17" s="3" t="inlineStr"/>
      <c r="I17" s="5" t="inlineStr"/>
      <c r="J17" s="3" t="inlineStr"/>
      <c r="K17" s="5" t="inlineStr"/>
      <c r="L17" s="3" t="inlineStr"/>
      <c r="M17" s="3" t="inlineStr"/>
      <c r="N17" s="3" t="inlineStr"/>
      <c r="O17" s="3" t="inlineStr"/>
      <c r="P17" s="3" t="inlineStr"/>
      <c r="Q17" s="6">
        <f>IF(S17="Sí",I17-K17,"")</f>
        <v/>
      </c>
      <c r="R17" s="7">
        <f>IF(S17="Sí",Q17/I17,"")</f>
        <v/>
      </c>
      <c r="S17" s="8">
        <f>IF(AND('Preparación'!$B$2&lt;&gt;"",'Preparación'!$B$3&lt;&gt;"",COUNTIF(CodigosCasos,B17)=1,COUNTIF(CodigosTareas,C17)=1,COUNTIFS($B$2:$B$201,B17,$C$2:$C$201,C17,$D$2:$D$201,D17)=1,ISNUMBER(D17),D17&gt;0,INT(D17)=D17,D17&lt;=100,OR(E17="Manual → LegalTriage",E17="LegalTriage → Manual"),F17&lt;&gt;"",ISNUMBER(G17),G17&gt;0,H17="Correcta",J17="Correcta",L17="Sí",ISNUMBER(I17),ISNUMBER(K17),I17&gt;0,K17&gt;0,O17&lt;&gt;"",P17&lt;&gt;""),"Sí","")</f>
        <v/>
      </c>
    </row>
    <row r="18">
      <c r="A18" s="3" t="inlineStr"/>
      <c r="B18" s="3" t="inlineStr"/>
      <c r="C18" s="3" t="inlineStr"/>
      <c r="D18" s="3" t="inlineStr"/>
      <c r="E18" s="3" t="inlineStr"/>
      <c r="F18" s="3" t="inlineStr"/>
      <c r="G18" s="4" t="inlineStr"/>
      <c r="H18" s="3" t="inlineStr"/>
      <c r="I18" s="5" t="inlineStr"/>
      <c r="J18" s="3" t="inlineStr"/>
      <c r="K18" s="5" t="inlineStr"/>
      <c r="L18" s="3" t="inlineStr"/>
      <c r="M18" s="3" t="inlineStr"/>
      <c r="N18" s="3" t="inlineStr"/>
      <c r="O18" s="3" t="inlineStr"/>
      <c r="P18" s="3" t="inlineStr"/>
      <c r="Q18" s="6">
        <f>IF(S18="Sí",I18-K18,"")</f>
        <v/>
      </c>
      <c r="R18" s="7">
        <f>IF(S18="Sí",Q18/I18,"")</f>
        <v/>
      </c>
      <c r="S18" s="8">
        <f>IF(AND('Preparación'!$B$2&lt;&gt;"",'Preparación'!$B$3&lt;&gt;"",COUNTIF(CodigosCasos,B18)=1,COUNTIF(CodigosTareas,C18)=1,COUNTIFS($B$2:$B$201,B18,$C$2:$C$201,C18,$D$2:$D$201,D18)=1,ISNUMBER(D18),D18&gt;0,INT(D18)=D18,D18&lt;=100,OR(E18="Manual → LegalTriage",E18="LegalTriage → Manual"),F18&lt;&gt;"",ISNUMBER(G18),G18&gt;0,H18="Correcta",J18="Correcta",L18="Sí",ISNUMBER(I18),ISNUMBER(K18),I18&gt;0,K18&gt;0,O18&lt;&gt;"",P18&lt;&gt;""),"Sí","")</f>
        <v/>
      </c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4" t="inlineStr"/>
      <c r="H19" s="3" t="inlineStr"/>
      <c r="I19" s="5" t="inlineStr"/>
      <c r="J19" s="3" t="inlineStr"/>
      <c r="K19" s="5" t="inlineStr"/>
      <c r="L19" s="3" t="inlineStr"/>
      <c r="M19" s="3" t="inlineStr"/>
      <c r="N19" s="3" t="inlineStr"/>
      <c r="O19" s="3" t="inlineStr"/>
      <c r="P19" s="3" t="inlineStr"/>
      <c r="Q19" s="6">
        <f>IF(S19="Sí",I19-K19,"")</f>
        <v/>
      </c>
      <c r="R19" s="7">
        <f>IF(S19="Sí",Q19/I19,"")</f>
        <v/>
      </c>
      <c r="S19" s="8">
        <f>IF(AND('Preparación'!$B$2&lt;&gt;"",'Preparación'!$B$3&lt;&gt;"",COUNTIF(CodigosCasos,B19)=1,COUNTIF(CodigosTareas,C19)=1,COUNTIFS($B$2:$B$201,B19,$C$2:$C$201,C19,$D$2:$D$201,D19)=1,ISNUMBER(D19),D19&gt;0,INT(D19)=D19,D19&lt;=100,OR(E19="Manual → LegalTriage",E19="LegalTriage → Manual"),F19&lt;&gt;"",ISNUMBER(G19),G19&gt;0,H19="Correcta",J19="Correcta",L19="Sí",ISNUMBER(I19),ISNUMBER(K19),I19&gt;0,K19&gt;0,O19&lt;&gt;"",P19&lt;&gt;""),"Sí","")</f>
        <v/>
      </c>
    </row>
    <row r="20">
      <c r="A20" s="3" t="inlineStr"/>
      <c r="B20" s="3" t="inlineStr"/>
      <c r="C20" s="3" t="inlineStr"/>
      <c r="D20" s="3" t="inlineStr"/>
      <c r="E20" s="3" t="inlineStr"/>
      <c r="F20" s="3" t="inlineStr"/>
      <c r="G20" s="4" t="inlineStr"/>
      <c r="H20" s="3" t="inlineStr"/>
      <c r="I20" s="5" t="inlineStr"/>
      <c r="J20" s="3" t="inlineStr"/>
      <c r="K20" s="5" t="inlineStr"/>
      <c r="L20" s="3" t="inlineStr"/>
      <c r="M20" s="3" t="inlineStr"/>
      <c r="N20" s="3" t="inlineStr"/>
      <c r="O20" s="3" t="inlineStr"/>
      <c r="P20" s="3" t="inlineStr"/>
      <c r="Q20" s="6">
        <f>IF(S20="Sí",I20-K20,"")</f>
        <v/>
      </c>
      <c r="R20" s="7">
        <f>IF(S20="Sí",Q20/I20,"")</f>
        <v/>
      </c>
      <c r="S20" s="8">
        <f>IF(AND('Preparación'!$B$2&lt;&gt;"",'Preparación'!$B$3&lt;&gt;"",COUNTIF(CodigosCasos,B20)=1,COUNTIF(CodigosTareas,C20)=1,COUNTIFS($B$2:$B$201,B20,$C$2:$C$201,C20,$D$2:$D$201,D20)=1,ISNUMBER(D20),D20&gt;0,INT(D20)=D20,D20&lt;=100,OR(E20="Manual → LegalTriage",E20="LegalTriage → Manual"),F20&lt;&gt;"",ISNUMBER(G20),G20&gt;0,H20="Correcta",J20="Correcta",L20="Sí",ISNUMBER(I20),ISNUMBER(K20),I20&gt;0,K20&gt;0,O20&lt;&gt;"",P20&lt;&gt;""),"Sí","")</f>
        <v/>
      </c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4" t="inlineStr"/>
      <c r="H21" s="3" t="inlineStr"/>
      <c r="I21" s="5" t="inlineStr"/>
      <c r="J21" s="3" t="inlineStr"/>
      <c r="K21" s="5" t="inlineStr"/>
      <c r="L21" s="3" t="inlineStr"/>
      <c r="M21" s="3" t="inlineStr"/>
      <c r="N21" s="3" t="inlineStr"/>
      <c r="O21" s="3" t="inlineStr"/>
      <c r="P21" s="3" t="inlineStr"/>
      <c r="Q21" s="6">
        <f>IF(S21="Sí",I21-K21,"")</f>
        <v/>
      </c>
      <c r="R21" s="7">
        <f>IF(S21="Sí",Q21/I21,"")</f>
        <v/>
      </c>
      <c r="S21" s="8">
        <f>IF(AND('Preparación'!$B$2&lt;&gt;"",'Preparación'!$B$3&lt;&gt;"",COUNTIF(CodigosCasos,B21)=1,COUNTIF(CodigosTareas,C21)=1,COUNTIFS($B$2:$B$201,B21,$C$2:$C$201,C21,$D$2:$D$201,D21)=1,ISNUMBER(D21),D21&gt;0,INT(D21)=D21,D21&lt;=100,OR(E21="Manual → LegalTriage",E21="LegalTriage → Manual"),F21&lt;&gt;"",ISNUMBER(G21),G21&gt;0,H21="Correcta",J21="Correcta",L21="Sí",ISNUMBER(I21),ISNUMBER(K21),I21&gt;0,K21&gt;0,O21&lt;&gt;"",P21&lt;&gt;""),"Sí","")</f>
        <v/>
      </c>
    </row>
    <row r="22">
      <c r="A22" s="3" t="inlineStr"/>
      <c r="B22" s="3" t="inlineStr"/>
      <c r="C22" s="3" t="inlineStr"/>
      <c r="D22" s="3" t="inlineStr"/>
      <c r="E22" s="3" t="inlineStr"/>
      <c r="F22" s="3" t="inlineStr"/>
      <c r="G22" s="4" t="inlineStr"/>
      <c r="H22" s="3" t="inlineStr"/>
      <c r="I22" s="5" t="inlineStr"/>
      <c r="J22" s="3" t="inlineStr"/>
      <c r="K22" s="5" t="inlineStr"/>
      <c r="L22" s="3" t="inlineStr"/>
      <c r="M22" s="3" t="inlineStr"/>
      <c r="N22" s="3" t="inlineStr"/>
      <c r="O22" s="3" t="inlineStr"/>
      <c r="P22" s="3" t="inlineStr"/>
      <c r="Q22" s="6">
        <f>IF(S22="Sí",I22-K22,"")</f>
        <v/>
      </c>
      <c r="R22" s="7">
        <f>IF(S22="Sí",Q22/I22,"")</f>
        <v/>
      </c>
      <c r="S22" s="8">
        <f>IF(AND('Preparación'!$B$2&lt;&gt;"",'Preparación'!$B$3&lt;&gt;"",COUNTIF(CodigosCasos,B22)=1,COUNTIF(CodigosTareas,C22)=1,COUNTIFS($B$2:$B$201,B22,$C$2:$C$201,C22,$D$2:$D$201,D22)=1,ISNUMBER(D22),D22&gt;0,INT(D22)=D22,D22&lt;=100,OR(E22="Manual → LegalTriage",E22="LegalTriage → Manual"),F22&lt;&gt;"",ISNUMBER(G22),G22&gt;0,H22="Correcta",J22="Correcta",L22="Sí",ISNUMBER(I22),ISNUMBER(K22),I22&gt;0,K22&gt;0,O22&lt;&gt;"",P22&lt;&gt;""),"Sí","")</f>
        <v/>
      </c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4" t="inlineStr"/>
      <c r="H23" s="3" t="inlineStr"/>
      <c r="I23" s="5" t="inlineStr"/>
      <c r="J23" s="3" t="inlineStr"/>
      <c r="K23" s="5" t="inlineStr"/>
      <c r="L23" s="3" t="inlineStr"/>
      <c r="M23" s="3" t="inlineStr"/>
      <c r="N23" s="3" t="inlineStr"/>
      <c r="O23" s="3" t="inlineStr"/>
      <c r="P23" s="3" t="inlineStr"/>
      <c r="Q23" s="6">
        <f>IF(S23="Sí",I23-K23,"")</f>
        <v/>
      </c>
      <c r="R23" s="7">
        <f>IF(S23="Sí",Q23/I23,"")</f>
        <v/>
      </c>
      <c r="S23" s="8">
        <f>IF(AND('Preparación'!$B$2&lt;&gt;"",'Preparación'!$B$3&lt;&gt;"",COUNTIF(CodigosCasos,B23)=1,COUNTIF(CodigosTareas,C23)=1,COUNTIFS($B$2:$B$201,B23,$C$2:$C$201,C23,$D$2:$D$201,D23)=1,ISNUMBER(D23),D23&gt;0,INT(D23)=D23,D23&lt;=100,OR(E23="Manual → LegalTriage",E23="LegalTriage → Manual"),F23&lt;&gt;"",ISNUMBER(G23),G23&gt;0,H23="Correcta",J23="Correcta",L23="Sí",ISNUMBER(I23),ISNUMBER(K23),I23&gt;0,K23&gt;0,O23&lt;&gt;"",P23&lt;&gt;""),"Sí","")</f>
        <v/>
      </c>
    </row>
    <row r="24">
      <c r="A24" s="3" t="inlineStr"/>
      <c r="B24" s="3" t="inlineStr"/>
      <c r="C24" s="3" t="inlineStr"/>
      <c r="D24" s="3" t="inlineStr"/>
      <c r="E24" s="3" t="inlineStr"/>
      <c r="F24" s="3" t="inlineStr"/>
      <c r="G24" s="4" t="inlineStr"/>
      <c r="H24" s="3" t="inlineStr"/>
      <c r="I24" s="5" t="inlineStr"/>
      <c r="J24" s="3" t="inlineStr"/>
      <c r="K24" s="5" t="inlineStr"/>
      <c r="L24" s="3" t="inlineStr"/>
      <c r="M24" s="3" t="inlineStr"/>
      <c r="N24" s="3" t="inlineStr"/>
      <c r="O24" s="3" t="inlineStr"/>
      <c r="P24" s="3" t="inlineStr"/>
      <c r="Q24" s="6">
        <f>IF(S24="Sí",I24-K24,"")</f>
        <v/>
      </c>
      <c r="R24" s="7">
        <f>IF(S24="Sí",Q24/I24,"")</f>
        <v/>
      </c>
      <c r="S24" s="8">
        <f>IF(AND('Preparación'!$B$2&lt;&gt;"",'Preparación'!$B$3&lt;&gt;"",COUNTIF(CodigosCasos,B24)=1,COUNTIF(CodigosTareas,C24)=1,COUNTIFS($B$2:$B$201,B24,$C$2:$C$201,C24,$D$2:$D$201,D24)=1,ISNUMBER(D24),D24&gt;0,INT(D24)=D24,D24&lt;=100,OR(E24="Manual → LegalTriage",E24="LegalTriage → Manual"),F24&lt;&gt;"",ISNUMBER(G24),G24&gt;0,H24="Correcta",J24="Correcta",L24="Sí",ISNUMBER(I24),ISNUMBER(K24),I24&gt;0,K24&gt;0,O24&lt;&gt;"",P24&lt;&gt;""),"Sí","")</f>
        <v/>
      </c>
    </row>
    <row r="25">
      <c r="A25" s="3" t="inlineStr"/>
      <c r="B25" s="3" t="inlineStr"/>
      <c r="C25" s="3" t="inlineStr"/>
      <c r="D25" s="3" t="inlineStr"/>
      <c r="E25" s="3" t="inlineStr"/>
      <c r="F25" s="3" t="inlineStr"/>
      <c r="G25" s="4" t="inlineStr"/>
      <c r="H25" s="3" t="inlineStr"/>
      <c r="I25" s="5" t="inlineStr"/>
      <c r="J25" s="3" t="inlineStr"/>
      <c r="K25" s="5" t="inlineStr"/>
      <c r="L25" s="3" t="inlineStr"/>
      <c r="M25" s="3" t="inlineStr"/>
      <c r="N25" s="3" t="inlineStr"/>
      <c r="O25" s="3" t="inlineStr"/>
      <c r="P25" s="3" t="inlineStr"/>
      <c r="Q25" s="6">
        <f>IF(S25="Sí",I25-K25,"")</f>
        <v/>
      </c>
      <c r="R25" s="7">
        <f>IF(S25="Sí",Q25/I25,"")</f>
        <v/>
      </c>
      <c r="S25" s="8">
        <f>IF(AND('Preparación'!$B$2&lt;&gt;"",'Preparación'!$B$3&lt;&gt;"",COUNTIF(CodigosCasos,B25)=1,COUNTIF(CodigosTareas,C25)=1,COUNTIFS($B$2:$B$201,B25,$C$2:$C$201,C25,$D$2:$D$201,D25)=1,ISNUMBER(D25),D25&gt;0,INT(D25)=D25,D25&lt;=100,OR(E25="Manual → LegalTriage",E25="LegalTriage → Manual"),F25&lt;&gt;"",ISNUMBER(G25),G25&gt;0,H25="Correcta",J25="Correcta",L25="Sí",ISNUMBER(I25),ISNUMBER(K25),I25&gt;0,K25&gt;0,O25&lt;&gt;"",P25&lt;&gt;""),"Sí","")</f>
        <v/>
      </c>
    </row>
    <row r="26">
      <c r="A26" s="3" t="inlineStr"/>
      <c r="B26" s="3" t="inlineStr"/>
      <c r="C26" s="3" t="inlineStr"/>
      <c r="D26" s="3" t="inlineStr"/>
      <c r="E26" s="3" t="inlineStr"/>
      <c r="F26" s="3" t="inlineStr"/>
      <c r="G26" s="4" t="inlineStr"/>
      <c r="H26" s="3" t="inlineStr"/>
      <c r="I26" s="5" t="inlineStr"/>
      <c r="J26" s="3" t="inlineStr"/>
      <c r="K26" s="5" t="inlineStr"/>
      <c r="L26" s="3" t="inlineStr"/>
      <c r="M26" s="3" t="inlineStr"/>
      <c r="N26" s="3" t="inlineStr"/>
      <c r="O26" s="3" t="inlineStr"/>
      <c r="P26" s="3" t="inlineStr"/>
      <c r="Q26" s="6">
        <f>IF(S26="Sí",I26-K26,"")</f>
        <v/>
      </c>
      <c r="R26" s="7">
        <f>IF(S26="Sí",Q26/I26,"")</f>
        <v/>
      </c>
      <c r="S26" s="8">
        <f>IF(AND('Preparación'!$B$2&lt;&gt;"",'Preparación'!$B$3&lt;&gt;"",COUNTIF(CodigosCasos,B26)=1,COUNTIF(CodigosTareas,C26)=1,COUNTIFS($B$2:$B$201,B26,$C$2:$C$201,C26,$D$2:$D$201,D26)=1,ISNUMBER(D26),D26&gt;0,INT(D26)=D26,D26&lt;=100,OR(E26="Manual → LegalTriage",E26="LegalTriage → Manual"),F26&lt;&gt;"",ISNUMBER(G26),G26&gt;0,H26="Correcta",J26="Correcta",L26="Sí",ISNUMBER(I26),ISNUMBER(K26),I26&gt;0,K26&gt;0,O26&lt;&gt;"",P26&lt;&gt;""),"Sí","")</f>
        <v/>
      </c>
    </row>
    <row r="27">
      <c r="A27" s="3" t="inlineStr"/>
      <c r="B27" s="3" t="inlineStr"/>
      <c r="C27" s="3" t="inlineStr"/>
      <c r="D27" s="3" t="inlineStr"/>
      <c r="E27" s="3" t="inlineStr"/>
      <c r="F27" s="3" t="inlineStr"/>
      <c r="G27" s="4" t="inlineStr"/>
      <c r="H27" s="3" t="inlineStr"/>
      <c r="I27" s="5" t="inlineStr"/>
      <c r="J27" s="3" t="inlineStr"/>
      <c r="K27" s="5" t="inlineStr"/>
      <c r="L27" s="3" t="inlineStr"/>
      <c r="M27" s="3" t="inlineStr"/>
      <c r="N27" s="3" t="inlineStr"/>
      <c r="O27" s="3" t="inlineStr"/>
      <c r="P27" s="3" t="inlineStr"/>
      <c r="Q27" s="6">
        <f>IF(S27="Sí",I27-K27,"")</f>
        <v/>
      </c>
      <c r="R27" s="7">
        <f>IF(S27="Sí",Q27/I27,"")</f>
        <v/>
      </c>
      <c r="S27" s="8">
        <f>IF(AND('Preparación'!$B$2&lt;&gt;"",'Preparación'!$B$3&lt;&gt;"",COUNTIF(CodigosCasos,B27)=1,COUNTIF(CodigosTareas,C27)=1,COUNTIFS($B$2:$B$201,B27,$C$2:$C$201,C27,$D$2:$D$201,D27)=1,ISNUMBER(D27),D27&gt;0,INT(D27)=D27,D27&lt;=100,OR(E27="Manual → LegalTriage",E27="LegalTriage → Manual"),F27&lt;&gt;"",ISNUMBER(G27),G27&gt;0,H27="Correcta",J27="Correcta",L27="Sí",ISNUMBER(I27),ISNUMBER(K27),I27&gt;0,K27&gt;0,O27&lt;&gt;"",P27&lt;&gt;""),"Sí","")</f>
        <v/>
      </c>
    </row>
    <row r="28">
      <c r="A28" s="3" t="inlineStr"/>
      <c r="B28" s="3" t="inlineStr"/>
      <c r="C28" s="3" t="inlineStr"/>
      <c r="D28" s="3" t="inlineStr"/>
      <c r="E28" s="3" t="inlineStr"/>
      <c r="F28" s="3" t="inlineStr"/>
      <c r="G28" s="4" t="inlineStr"/>
      <c r="H28" s="3" t="inlineStr"/>
      <c r="I28" s="5" t="inlineStr"/>
      <c r="J28" s="3" t="inlineStr"/>
      <c r="K28" s="5" t="inlineStr"/>
      <c r="L28" s="3" t="inlineStr"/>
      <c r="M28" s="3" t="inlineStr"/>
      <c r="N28" s="3" t="inlineStr"/>
      <c r="O28" s="3" t="inlineStr"/>
      <c r="P28" s="3" t="inlineStr"/>
      <c r="Q28" s="6">
        <f>IF(S28="Sí",I28-K28,"")</f>
        <v/>
      </c>
      <c r="R28" s="7">
        <f>IF(S28="Sí",Q28/I28,"")</f>
        <v/>
      </c>
      <c r="S28" s="8">
        <f>IF(AND('Preparación'!$B$2&lt;&gt;"",'Preparación'!$B$3&lt;&gt;"",COUNTIF(CodigosCasos,B28)=1,COUNTIF(CodigosTareas,C28)=1,COUNTIFS($B$2:$B$201,B28,$C$2:$C$201,C28,$D$2:$D$201,D28)=1,ISNUMBER(D28),D28&gt;0,INT(D28)=D28,D28&lt;=100,OR(E28="Manual → LegalTriage",E28="LegalTriage → Manual"),F28&lt;&gt;"",ISNUMBER(G28),G28&gt;0,H28="Correcta",J28="Correcta",L28="Sí",ISNUMBER(I28),ISNUMBER(K28),I28&gt;0,K28&gt;0,O28&lt;&gt;"",P28&lt;&gt;""),"Sí","")</f>
        <v/>
      </c>
    </row>
    <row r="29">
      <c r="A29" s="3" t="inlineStr"/>
      <c r="B29" s="3" t="inlineStr"/>
      <c r="C29" s="3" t="inlineStr"/>
      <c r="D29" s="3" t="inlineStr"/>
      <c r="E29" s="3" t="inlineStr"/>
      <c r="F29" s="3" t="inlineStr"/>
      <c r="G29" s="4" t="inlineStr"/>
      <c r="H29" s="3" t="inlineStr"/>
      <c r="I29" s="5" t="inlineStr"/>
      <c r="J29" s="3" t="inlineStr"/>
      <c r="K29" s="5" t="inlineStr"/>
      <c r="L29" s="3" t="inlineStr"/>
      <c r="M29" s="3" t="inlineStr"/>
      <c r="N29" s="3" t="inlineStr"/>
      <c r="O29" s="3" t="inlineStr"/>
      <c r="P29" s="3" t="inlineStr"/>
      <c r="Q29" s="6">
        <f>IF(S29="Sí",I29-K29,"")</f>
        <v/>
      </c>
      <c r="R29" s="7">
        <f>IF(S29="Sí",Q29/I29,"")</f>
        <v/>
      </c>
      <c r="S29" s="8">
        <f>IF(AND('Preparación'!$B$2&lt;&gt;"",'Preparación'!$B$3&lt;&gt;"",COUNTIF(CodigosCasos,B29)=1,COUNTIF(CodigosTareas,C29)=1,COUNTIFS($B$2:$B$201,B29,$C$2:$C$201,C29,$D$2:$D$201,D29)=1,ISNUMBER(D29),D29&gt;0,INT(D29)=D29,D29&lt;=100,OR(E29="Manual → LegalTriage",E29="LegalTriage → Manual"),F29&lt;&gt;"",ISNUMBER(G29),G29&gt;0,H29="Correcta",J29="Correcta",L29="Sí",ISNUMBER(I29),ISNUMBER(K29),I29&gt;0,K29&gt;0,O29&lt;&gt;"",P29&lt;&gt;""),"Sí","")</f>
        <v/>
      </c>
    </row>
    <row r="30">
      <c r="A30" s="3" t="inlineStr"/>
      <c r="B30" s="3" t="inlineStr"/>
      <c r="C30" s="3" t="inlineStr"/>
      <c r="D30" s="3" t="inlineStr"/>
      <c r="E30" s="3" t="inlineStr"/>
      <c r="F30" s="3" t="inlineStr"/>
      <c r="G30" s="4" t="inlineStr"/>
      <c r="H30" s="3" t="inlineStr"/>
      <c r="I30" s="5" t="inlineStr"/>
      <c r="J30" s="3" t="inlineStr"/>
      <c r="K30" s="5" t="inlineStr"/>
      <c r="L30" s="3" t="inlineStr"/>
      <c r="M30" s="3" t="inlineStr"/>
      <c r="N30" s="3" t="inlineStr"/>
      <c r="O30" s="3" t="inlineStr"/>
      <c r="P30" s="3" t="inlineStr"/>
      <c r="Q30" s="6">
        <f>IF(S30="Sí",I30-K30,"")</f>
        <v/>
      </c>
      <c r="R30" s="7">
        <f>IF(S30="Sí",Q30/I30,"")</f>
        <v/>
      </c>
      <c r="S30" s="8">
        <f>IF(AND('Preparación'!$B$2&lt;&gt;"",'Preparación'!$B$3&lt;&gt;"",COUNTIF(CodigosCasos,B30)=1,COUNTIF(CodigosTareas,C30)=1,COUNTIFS($B$2:$B$201,B30,$C$2:$C$201,C30,$D$2:$D$201,D30)=1,ISNUMBER(D30),D30&gt;0,INT(D30)=D30,D30&lt;=100,OR(E30="Manual → LegalTriage",E30="LegalTriage → Manual"),F30&lt;&gt;"",ISNUMBER(G30),G30&gt;0,H30="Correcta",J30="Correcta",L30="Sí",ISNUMBER(I30),ISNUMBER(K30),I30&gt;0,K30&gt;0,O30&lt;&gt;"",P30&lt;&gt;""),"Sí","")</f>
        <v/>
      </c>
    </row>
    <row r="31">
      <c r="A31" s="3" t="inlineStr"/>
      <c r="B31" s="3" t="inlineStr"/>
      <c r="C31" s="3" t="inlineStr"/>
      <c r="D31" s="3" t="inlineStr"/>
      <c r="E31" s="3" t="inlineStr"/>
      <c r="F31" s="3" t="inlineStr"/>
      <c r="G31" s="4" t="inlineStr"/>
      <c r="H31" s="3" t="inlineStr"/>
      <c r="I31" s="5" t="inlineStr"/>
      <c r="J31" s="3" t="inlineStr"/>
      <c r="K31" s="5" t="inlineStr"/>
      <c r="L31" s="3" t="inlineStr"/>
      <c r="M31" s="3" t="inlineStr"/>
      <c r="N31" s="3" t="inlineStr"/>
      <c r="O31" s="3" t="inlineStr"/>
      <c r="P31" s="3" t="inlineStr"/>
      <c r="Q31" s="6">
        <f>IF(S31="Sí",I31-K31,"")</f>
        <v/>
      </c>
      <c r="R31" s="7">
        <f>IF(S31="Sí",Q31/I31,"")</f>
        <v/>
      </c>
      <c r="S31" s="8">
        <f>IF(AND('Preparación'!$B$2&lt;&gt;"",'Preparación'!$B$3&lt;&gt;"",COUNTIF(CodigosCasos,B31)=1,COUNTIF(CodigosTareas,C31)=1,COUNTIFS($B$2:$B$201,B31,$C$2:$C$201,C31,$D$2:$D$201,D31)=1,ISNUMBER(D31),D31&gt;0,INT(D31)=D31,D31&lt;=100,OR(E31="Manual → LegalTriage",E31="LegalTriage → Manual"),F31&lt;&gt;"",ISNUMBER(G31),G31&gt;0,H31="Correcta",J31="Correcta",L31="Sí",ISNUMBER(I31),ISNUMBER(K31),I31&gt;0,K31&gt;0,O31&lt;&gt;"",P31&lt;&gt;""),"Sí","")</f>
        <v/>
      </c>
    </row>
    <row r="32">
      <c r="A32" s="3" t="inlineStr"/>
      <c r="B32" s="3" t="inlineStr"/>
      <c r="C32" s="3" t="inlineStr"/>
      <c r="D32" s="3" t="inlineStr"/>
      <c r="E32" s="3" t="inlineStr"/>
      <c r="F32" s="3" t="inlineStr"/>
      <c r="G32" s="4" t="inlineStr"/>
      <c r="H32" s="3" t="inlineStr"/>
      <c r="I32" s="5" t="inlineStr"/>
      <c r="J32" s="3" t="inlineStr"/>
      <c r="K32" s="5" t="inlineStr"/>
      <c r="L32" s="3" t="inlineStr"/>
      <c r="M32" s="3" t="inlineStr"/>
      <c r="N32" s="3" t="inlineStr"/>
      <c r="O32" s="3" t="inlineStr"/>
      <c r="P32" s="3" t="inlineStr"/>
      <c r="Q32" s="6">
        <f>IF(S32="Sí",I32-K32,"")</f>
        <v/>
      </c>
      <c r="R32" s="7">
        <f>IF(S32="Sí",Q32/I32,"")</f>
        <v/>
      </c>
      <c r="S32" s="8">
        <f>IF(AND('Preparación'!$B$2&lt;&gt;"",'Preparación'!$B$3&lt;&gt;"",COUNTIF(CodigosCasos,B32)=1,COUNTIF(CodigosTareas,C32)=1,COUNTIFS($B$2:$B$201,B32,$C$2:$C$201,C32,$D$2:$D$201,D32)=1,ISNUMBER(D32),D32&gt;0,INT(D32)=D32,D32&lt;=100,OR(E32="Manual → LegalTriage",E32="LegalTriage → Manual"),F32&lt;&gt;"",ISNUMBER(G32),G32&gt;0,H32="Correcta",J32="Correcta",L32="Sí",ISNUMBER(I32),ISNUMBER(K32),I32&gt;0,K32&gt;0,O32&lt;&gt;"",P32&lt;&gt;""),"Sí","")</f>
        <v/>
      </c>
    </row>
    <row r="33">
      <c r="A33" s="3" t="inlineStr"/>
      <c r="B33" s="3" t="inlineStr"/>
      <c r="C33" s="3" t="inlineStr"/>
      <c r="D33" s="3" t="inlineStr"/>
      <c r="E33" s="3" t="inlineStr"/>
      <c r="F33" s="3" t="inlineStr"/>
      <c r="G33" s="4" t="inlineStr"/>
      <c r="H33" s="3" t="inlineStr"/>
      <c r="I33" s="5" t="inlineStr"/>
      <c r="J33" s="3" t="inlineStr"/>
      <c r="K33" s="5" t="inlineStr"/>
      <c r="L33" s="3" t="inlineStr"/>
      <c r="M33" s="3" t="inlineStr"/>
      <c r="N33" s="3" t="inlineStr"/>
      <c r="O33" s="3" t="inlineStr"/>
      <c r="P33" s="3" t="inlineStr"/>
      <c r="Q33" s="6">
        <f>IF(S33="Sí",I33-K33,"")</f>
        <v/>
      </c>
      <c r="R33" s="7">
        <f>IF(S33="Sí",Q33/I33,"")</f>
        <v/>
      </c>
      <c r="S33" s="8">
        <f>IF(AND('Preparación'!$B$2&lt;&gt;"",'Preparación'!$B$3&lt;&gt;"",COUNTIF(CodigosCasos,B33)=1,COUNTIF(CodigosTareas,C33)=1,COUNTIFS($B$2:$B$201,B33,$C$2:$C$201,C33,$D$2:$D$201,D33)=1,ISNUMBER(D33),D33&gt;0,INT(D33)=D33,D33&lt;=100,OR(E33="Manual → LegalTriage",E33="LegalTriage → Manual"),F33&lt;&gt;"",ISNUMBER(G33),G33&gt;0,H33="Correcta",J33="Correcta",L33="Sí",ISNUMBER(I33),ISNUMBER(K33),I33&gt;0,K33&gt;0,O33&lt;&gt;"",P33&lt;&gt;""),"Sí","")</f>
        <v/>
      </c>
    </row>
    <row r="34">
      <c r="A34" s="3" t="inlineStr"/>
      <c r="B34" s="3" t="inlineStr"/>
      <c r="C34" s="3" t="inlineStr"/>
      <c r="D34" s="3" t="inlineStr"/>
      <c r="E34" s="3" t="inlineStr"/>
      <c r="F34" s="3" t="inlineStr"/>
      <c r="G34" s="4" t="inlineStr"/>
      <c r="H34" s="3" t="inlineStr"/>
      <c r="I34" s="5" t="inlineStr"/>
      <c r="J34" s="3" t="inlineStr"/>
      <c r="K34" s="5" t="inlineStr"/>
      <c r="L34" s="3" t="inlineStr"/>
      <c r="M34" s="3" t="inlineStr"/>
      <c r="N34" s="3" t="inlineStr"/>
      <c r="O34" s="3" t="inlineStr"/>
      <c r="P34" s="3" t="inlineStr"/>
      <c r="Q34" s="6">
        <f>IF(S34="Sí",I34-K34,"")</f>
        <v/>
      </c>
      <c r="R34" s="7">
        <f>IF(S34="Sí",Q34/I34,"")</f>
        <v/>
      </c>
      <c r="S34" s="8">
        <f>IF(AND('Preparación'!$B$2&lt;&gt;"",'Preparación'!$B$3&lt;&gt;"",COUNTIF(CodigosCasos,B34)=1,COUNTIF(CodigosTareas,C34)=1,COUNTIFS($B$2:$B$201,B34,$C$2:$C$201,C34,$D$2:$D$201,D34)=1,ISNUMBER(D34),D34&gt;0,INT(D34)=D34,D34&lt;=100,OR(E34="Manual → LegalTriage",E34="LegalTriage → Manual"),F34&lt;&gt;"",ISNUMBER(G34),G34&gt;0,H34="Correcta",J34="Correcta",L34="Sí",ISNUMBER(I34),ISNUMBER(K34),I34&gt;0,K34&gt;0,O34&lt;&gt;"",P34&lt;&gt;""),"Sí","")</f>
        <v/>
      </c>
    </row>
    <row r="35">
      <c r="A35" s="3" t="inlineStr"/>
      <c r="B35" s="3" t="inlineStr"/>
      <c r="C35" s="3" t="inlineStr"/>
      <c r="D35" s="3" t="inlineStr"/>
      <c r="E35" s="3" t="inlineStr"/>
      <c r="F35" s="3" t="inlineStr"/>
      <c r="G35" s="4" t="inlineStr"/>
      <c r="H35" s="3" t="inlineStr"/>
      <c r="I35" s="5" t="inlineStr"/>
      <c r="J35" s="3" t="inlineStr"/>
      <c r="K35" s="5" t="inlineStr"/>
      <c r="L35" s="3" t="inlineStr"/>
      <c r="M35" s="3" t="inlineStr"/>
      <c r="N35" s="3" t="inlineStr"/>
      <c r="O35" s="3" t="inlineStr"/>
      <c r="P35" s="3" t="inlineStr"/>
      <c r="Q35" s="6">
        <f>IF(S35="Sí",I35-K35,"")</f>
        <v/>
      </c>
      <c r="R35" s="7">
        <f>IF(S35="Sí",Q35/I35,"")</f>
        <v/>
      </c>
      <c r="S35" s="8">
        <f>IF(AND('Preparación'!$B$2&lt;&gt;"",'Preparación'!$B$3&lt;&gt;"",COUNTIF(CodigosCasos,B35)=1,COUNTIF(CodigosTareas,C35)=1,COUNTIFS($B$2:$B$201,B35,$C$2:$C$201,C35,$D$2:$D$201,D35)=1,ISNUMBER(D35),D35&gt;0,INT(D35)=D35,D35&lt;=100,OR(E35="Manual → LegalTriage",E35="LegalTriage → Manual"),F35&lt;&gt;"",ISNUMBER(G35),G35&gt;0,H35="Correcta",J35="Correcta",L35="Sí",ISNUMBER(I35),ISNUMBER(K35),I35&gt;0,K35&gt;0,O35&lt;&gt;"",P35&lt;&gt;""),"Sí","")</f>
        <v/>
      </c>
    </row>
    <row r="36">
      <c r="A36" s="3" t="inlineStr"/>
      <c r="B36" s="3" t="inlineStr"/>
      <c r="C36" s="3" t="inlineStr"/>
      <c r="D36" s="3" t="inlineStr"/>
      <c r="E36" s="3" t="inlineStr"/>
      <c r="F36" s="3" t="inlineStr"/>
      <c r="G36" s="4" t="inlineStr"/>
      <c r="H36" s="3" t="inlineStr"/>
      <c r="I36" s="5" t="inlineStr"/>
      <c r="J36" s="3" t="inlineStr"/>
      <c r="K36" s="5" t="inlineStr"/>
      <c r="L36" s="3" t="inlineStr"/>
      <c r="M36" s="3" t="inlineStr"/>
      <c r="N36" s="3" t="inlineStr"/>
      <c r="O36" s="3" t="inlineStr"/>
      <c r="P36" s="3" t="inlineStr"/>
      <c r="Q36" s="6">
        <f>IF(S36="Sí",I36-K36,"")</f>
        <v/>
      </c>
      <c r="R36" s="7">
        <f>IF(S36="Sí",Q36/I36,"")</f>
        <v/>
      </c>
      <c r="S36" s="8">
        <f>IF(AND('Preparación'!$B$2&lt;&gt;"",'Preparación'!$B$3&lt;&gt;"",COUNTIF(CodigosCasos,B36)=1,COUNTIF(CodigosTareas,C36)=1,COUNTIFS($B$2:$B$201,B36,$C$2:$C$201,C36,$D$2:$D$201,D36)=1,ISNUMBER(D36),D36&gt;0,INT(D36)=D36,D36&lt;=100,OR(E36="Manual → LegalTriage",E36="LegalTriage → Manual"),F36&lt;&gt;"",ISNUMBER(G36),G36&gt;0,H36="Correcta",J36="Correcta",L36="Sí",ISNUMBER(I36),ISNUMBER(K36),I36&gt;0,K36&gt;0,O36&lt;&gt;"",P36&lt;&gt;""),"Sí","")</f>
        <v/>
      </c>
    </row>
    <row r="37">
      <c r="A37" s="3" t="inlineStr"/>
      <c r="B37" s="3" t="inlineStr"/>
      <c r="C37" s="3" t="inlineStr"/>
      <c r="D37" s="3" t="inlineStr"/>
      <c r="E37" s="3" t="inlineStr"/>
      <c r="F37" s="3" t="inlineStr"/>
      <c r="G37" s="4" t="inlineStr"/>
      <c r="H37" s="3" t="inlineStr"/>
      <c r="I37" s="5" t="inlineStr"/>
      <c r="J37" s="3" t="inlineStr"/>
      <c r="K37" s="5" t="inlineStr"/>
      <c r="L37" s="3" t="inlineStr"/>
      <c r="M37" s="3" t="inlineStr"/>
      <c r="N37" s="3" t="inlineStr"/>
      <c r="O37" s="3" t="inlineStr"/>
      <c r="P37" s="3" t="inlineStr"/>
      <c r="Q37" s="6">
        <f>IF(S37="Sí",I37-K37,"")</f>
        <v/>
      </c>
      <c r="R37" s="7">
        <f>IF(S37="Sí",Q37/I37,"")</f>
        <v/>
      </c>
      <c r="S37" s="8">
        <f>IF(AND('Preparación'!$B$2&lt;&gt;"",'Preparación'!$B$3&lt;&gt;"",COUNTIF(CodigosCasos,B37)=1,COUNTIF(CodigosTareas,C37)=1,COUNTIFS($B$2:$B$201,B37,$C$2:$C$201,C37,$D$2:$D$201,D37)=1,ISNUMBER(D37),D37&gt;0,INT(D37)=D37,D37&lt;=100,OR(E37="Manual → LegalTriage",E37="LegalTriage → Manual"),F37&lt;&gt;"",ISNUMBER(G37),G37&gt;0,H37="Correcta",J37="Correcta",L37="Sí",ISNUMBER(I37),ISNUMBER(K37),I37&gt;0,K37&gt;0,O37&lt;&gt;"",P37&lt;&gt;""),"Sí","")</f>
        <v/>
      </c>
    </row>
    <row r="38">
      <c r="A38" s="3" t="inlineStr"/>
      <c r="B38" s="3" t="inlineStr"/>
      <c r="C38" s="3" t="inlineStr"/>
      <c r="D38" s="3" t="inlineStr"/>
      <c r="E38" s="3" t="inlineStr"/>
      <c r="F38" s="3" t="inlineStr"/>
      <c r="G38" s="4" t="inlineStr"/>
      <c r="H38" s="3" t="inlineStr"/>
      <c r="I38" s="5" t="inlineStr"/>
      <c r="J38" s="3" t="inlineStr"/>
      <c r="K38" s="5" t="inlineStr"/>
      <c r="L38" s="3" t="inlineStr"/>
      <c r="M38" s="3" t="inlineStr"/>
      <c r="N38" s="3" t="inlineStr"/>
      <c r="O38" s="3" t="inlineStr"/>
      <c r="P38" s="3" t="inlineStr"/>
      <c r="Q38" s="6">
        <f>IF(S38="Sí",I38-K38,"")</f>
        <v/>
      </c>
      <c r="R38" s="7">
        <f>IF(S38="Sí",Q38/I38,"")</f>
        <v/>
      </c>
      <c r="S38" s="8">
        <f>IF(AND('Preparación'!$B$2&lt;&gt;"",'Preparación'!$B$3&lt;&gt;"",COUNTIF(CodigosCasos,B38)=1,COUNTIF(CodigosTareas,C38)=1,COUNTIFS($B$2:$B$201,B38,$C$2:$C$201,C38,$D$2:$D$201,D38)=1,ISNUMBER(D38),D38&gt;0,INT(D38)=D38,D38&lt;=100,OR(E38="Manual → LegalTriage",E38="LegalTriage → Manual"),F38&lt;&gt;"",ISNUMBER(G38),G38&gt;0,H38="Correcta",J38="Correcta",L38="Sí",ISNUMBER(I38),ISNUMBER(K38),I38&gt;0,K38&gt;0,O38&lt;&gt;"",P38&lt;&gt;""),"Sí","")</f>
        <v/>
      </c>
    </row>
    <row r="39">
      <c r="A39" s="3" t="inlineStr"/>
      <c r="B39" s="3" t="inlineStr"/>
      <c r="C39" s="3" t="inlineStr"/>
      <c r="D39" s="3" t="inlineStr"/>
      <c r="E39" s="3" t="inlineStr"/>
      <c r="F39" s="3" t="inlineStr"/>
      <c r="G39" s="4" t="inlineStr"/>
      <c r="H39" s="3" t="inlineStr"/>
      <c r="I39" s="5" t="inlineStr"/>
      <c r="J39" s="3" t="inlineStr"/>
      <c r="K39" s="5" t="inlineStr"/>
      <c r="L39" s="3" t="inlineStr"/>
      <c r="M39" s="3" t="inlineStr"/>
      <c r="N39" s="3" t="inlineStr"/>
      <c r="O39" s="3" t="inlineStr"/>
      <c r="P39" s="3" t="inlineStr"/>
      <c r="Q39" s="6">
        <f>IF(S39="Sí",I39-K39,"")</f>
        <v/>
      </c>
      <c r="R39" s="7">
        <f>IF(S39="Sí",Q39/I39,"")</f>
        <v/>
      </c>
      <c r="S39" s="8">
        <f>IF(AND('Preparación'!$B$2&lt;&gt;"",'Preparación'!$B$3&lt;&gt;"",COUNTIF(CodigosCasos,B39)=1,COUNTIF(CodigosTareas,C39)=1,COUNTIFS($B$2:$B$201,B39,$C$2:$C$201,C39,$D$2:$D$201,D39)=1,ISNUMBER(D39),D39&gt;0,INT(D39)=D39,D39&lt;=100,OR(E39="Manual → LegalTriage",E39="LegalTriage → Manual"),F39&lt;&gt;"",ISNUMBER(G39),G39&gt;0,H39="Correcta",J39="Correcta",L39="Sí",ISNUMBER(I39),ISNUMBER(K39),I39&gt;0,K39&gt;0,O39&lt;&gt;"",P39&lt;&gt;""),"Sí","")</f>
        <v/>
      </c>
    </row>
    <row r="40">
      <c r="A40" s="3" t="inlineStr"/>
      <c r="B40" s="3" t="inlineStr"/>
      <c r="C40" s="3" t="inlineStr"/>
      <c r="D40" s="3" t="inlineStr"/>
      <c r="E40" s="3" t="inlineStr"/>
      <c r="F40" s="3" t="inlineStr"/>
      <c r="G40" s="4" t="inlineStr"/>
      <c r="H40" s="3" t="inlineStr"/>
      <c r="I40" s="5" t="inlineStr"/>
      <c r="J40" s="3" t="inlineStr"/>
      <c r="K40" s="5" t="inlineStr"/>
      <c r="L40" s="3" t="inlineStr"/>
      <c r="M40" s="3" t="inlineStr"/>
      <c r="N40" s="3" t="inlineStr"/>
      <c r="O40" s="3" t="inlineStr"/>
      <c r="P40" s="3" t="inlineStr"/>
      <c r="Q40" s="6">
        <f>IF(S40="Sí",I40-K40,"")</f>
        <v/>
      </c>
      <c r="R40" s="7">
        <f>IF(S40="Sí",Q40/I40,"")</f>
        <v/>
      </c>
      <c r="S40" s="8">
        <f>IF(AND('Preparación'!$B$2&lt;&gt;"",'Preparación'!$B$3&lt;&gt;"",COUNTIF(CodigosCasos,B40)=1,COUNTIF(CodigosTareas,C40)=1,COUNTIFS($B$2:$B$201,B40,$C$2:$C$201,C40,$D$2:$D$201,D40)=1,ISNUMBER(D40),D40&gt;0,INT(D40)=D40,D40&lt;=100,OR(E40="Manual → LegalTriage",E40="LegalTriage → Manual"),F40&lt;&gt;"",ISNUMBER(G40),G40&gt;0,H40="Correcta",J40="Correcta",L40="Sí",ISNUMBER(I40),ISNUMBER(K40),I40&gt;0,K40&gt;0,O40&lt;&gt;"",P40&lt;&gt;""),"Sí","")</f>
        <v/>
      </c>
    </row>
    <row r="41">
      <c r="A41" s="3" t="inlineStr"/>
      <c r="B41" s="3" t="inlineStr"/>
      <c r="C41" s="3" t="inlineStr"/>
      <c r="D41" s="3" t="inlineStr"/>
      <c r="E41" s="3" t="inlineStr"/>
      <c r="F41" s="3" t="inlineStr"/>
      <c r="G41" s="4" t="inlineStr"/>
      <c r="H41" s="3" t="inlineStr"/>
      <c r="I41" s="5" t="inlineStr"/>
      <c r="J41" s="3" t="inlineStr"/>
      <c r="K41" s="5" t="inlineStr"/>
      <c r="L41" s="3" t="inlineStr"/>
      <c r="M41" s="3" t="inlineStr"/>
      <c r="N41" s="3" t="inlineStr"/>
      <c r="O41" s="3" t="inlineStr"/>
      <c r="P41" s="3" t="inlineStr"/>
      <c r="Q41" s="6">
        <f>IF(S41="Sí",I41-K41,"")</f>
        <v/>
      </c>
      <c r="R41" s="7">
        <f>IF(S41="Sí",Q41/I41,"")</f>
        <v/>
      </c>
      <c r="S41" s="8">
        <f>IF(AND('Preparación'!$B$2&lt;&gt;"",'Preparación'!$B$3&lt;&gt;"",COUNTIF(CodigosCasos,B41)=1,COUNTIF(CodigosTareas,C41)=1,COUNTIFS($B$2:$B$201,B41,$C$2:$C$201,C41,$D$2:$D$201,D41)=1,ISNUMBER(D41),D41&gt;0,INT(D41)=D41,D41&lt;=100,OR(E41="Manual → LegalTriage",E41="LegalTriage → Manual"),F41&lt;&gt;"",ISNUMBER(G41),G41&gt;0,H41="Correcta",J41="Correcta",L41="Sí",ISNUMBER(I41),ISNUMBER(K41),I41&gt;0,K41&gt;0,O41&lt;&gt;"",P41&lt;&gt;""),"Sí","")</f>
        <v/>
      </c>
    </row>
    <row r="42">
      <c r="A42" s="3" t="inlineStr"/>
      <c r="B42" s="3" t="inlineStr"/>
      <c r="C42" s="3" t="inlineStr"/>
      <c r="D42" s="3" t="inlineStr"/>
      <c r="E42" s="3" t="inlineStr"/>
      <c r="F42" s="3" t="inlineStr"/>
      <c r="G42" s="4" t="inlineStr"/>
      <c r="H42" s="3" t="inlineStr"/>
      <c r="I42" s="5" t="inlineStr"/>
      <c r="J42" s="3" t="inlineStr"/>
      <c r="K42" s="5" t="inlineStr"/>
      <c r="L42" s="3" t="inlineStr"/>
      <c r="M42" s="3" t="inlineStr"/>
      <c r="N42" s="3" t="inlineStr"/>
      <c r="O42" s="3" t="inlineStr"/>
      <c r="P42" s="3" t="inlineStr"/>
      <c r="Q42" s="6">
        <f>IF(S42="Sí",I42-K42,"")</f>
        <v/>
      </c>
      <c r="R42" s="7">
        <f>IF(S42="Sí",Q42/I42,"")</f>
        <v/>
      </c>
      <c r="S42" s="8">
        <f>IF(AND('Preparación'!$B$2&lt;&gt;"",'Preparación'!$B$3&lt;&gt;"",COUNTIF(CodigosCasos,B42)=1,COUNTIF(CodigosTareas,C42)=1,COUNTIFS($B$2:$B$201,B42,$C$2:$C$201,C42,$D$2:$D$201,D42)=1,ISNUMBER(D42),D42&gt;0,INT(D42)=D42,D42&lt;=100,OR(E42="Manual → LegalTriage",E42="LegalTriage → Manual"),F42&lt;&gt;"",ISNUMBER(G42),G42&gt;0,H42="Correcta",J42="Correcta",L42="Sí",ISNUMBER(I42),ISNUMBER(K42),I42&gt;0,K42&gt;0,O42&lt;&gt;"",P42&lt;&gt;""),"Sí","")</f>
        <v/>
      </c>
    </row>
    <row r="43">
      <c r="A43" s="3" t="inlineStr"/>
      <c r="B43" s="3" t="inlineStr"/>
      <c r="C43" s="3" t="inlineStr"/>
      <c r="D43" s="3" t="inlineStr"/>
      <c r="E43" s="3" t="inlineStr"/>
      <c r="F43" s="3" t="inlineStr"/>
      <c r="G43" s="4" t="inlineStr"/>
      <c r="H43" s="3" t="inlineStr"/>
      <c r="I43" s="5" t="inlineStr"/>
      <c r="J43" s="3" t="inlineStr"/>
      <c r="K43" s="5" t="inlineStr"/>
      <c r="L43" s="3" t="inlineStr"/>
      <c r="M43" s="3" t="inlineStr"/>
      <c r="N43" s="3" t="inlineStr"/>
      <c r="O43" s="3" t="inlineStr"/>
      <c r="P43" s="3" t="inlineStr"/>
      <c r="Q43" s="6">
        <f>IF(S43="Sí",I43-K43,"")</f>
        <v/>
      </c>
      <c r="R43" s="7">
        <f>IF(S43="Sí",Q43/I43,"")</f>
        <v/>
      </c>
      <c r="S43" s="8">
        <f>IF(AND('Preparación'!$B$2&lt;&gt;"",'Preparación'!$B$3&lt;&gt;"",COUNTIF(CodigosCasos,B43)=1,COUNTIF(CodigosTareas,C43)=1,COUNTIFS($B$2:$B$201,B43,$C$2:$C$201,C43,$D$2:$D$201,D43)=1,ISNUMBER(D43),D43&gt;0,INT(D43)=D43,D43&lt;=100,OR(E43="Manual → LegalTriage",E43="LegalTriage → Manual"),F43&lt;&gt;"",ISNUMBER(G43),G43&gt;0,H43="Correcta",J43="Correcta",L43="Sí",ISNUMBER(I43),ISNUMBER(K43),I43&gt;0,K43&gt;0,O43&lt;&gt;"",P43&lt;&gt;""),"Sí","")</f>
        <v/>
      </c>
    </row>
    <row r="44">
      <c r="A44" s="3" t="inlineStr"/>
      <c r="B44" s="3" t="inlineStr"/>
      <c r="C44" s="3" t="inlineStr"/>
      <c r="D44" s="3" t="inlineStr"/>
      <c r="E44" s="3" t="inlineStr"/>
      <c r="F44" s="3" t="inlineStr"/>
      <c r="G44" s="4" t="inlineStr"/>
      <c r="H44" s="3" t="inlineStr"/>
      <c r="I44" s="5" t="inlineStr"/>
      <c r="J44" s="3" t="inlineStr"/>
      <c r="K44" s="5" t="inlineStr"/>
      <c r="L44" s="3" t="inlineStr"/>
      <c r="M44" s="3" t="inlineStr"/>
      <c r="N44" s="3" t="inlineStr"/>
      <c r="O44" s="3" t="inlineStr"/>
      <c r="P44" s="3" t="inlineStr"/>
      <c r="Q44" s="6">
        <f>IF(S44="Sí",I44-K44,"")</f>
        <v/>
      </c>
      <c r="R44" s="7">
        <f>IF(S44="Sí",Q44/I44,"")</f>
        <v/>
      </c>
      <c r="S44" s="8">
        <f>IF(AND('Preparación'!$B$2&lt;&gt;"",'Preparación'!$B$3&lt;&gt;"",COUNTIF(CodigosCasos,B44)=1,COUNTIF(CodigosTareas,C44)=1,COUNTIFS($B$2:$B$201,B44,$C$2:$C$201,C44,$D$2:$D$201,D44)=1,ISNUMBER(D44),D44&gt;0,INT(D44)=D44,D44&lt;=100,OR(E44="Manual → LegalTriage",E44="LegalTriage → Manual"),F44&lt;&gt;"",ISNUMBER(G44),G44&gt;0,H44="Correcta",J44="Correcta",L44="Sí",ISNUMBER(I44),ISNUMBER(K44),I44&gt;0,K44&gt;0,O44&lt;&gt;"",P44&lt;&gt;""),"Sí","")</f>
        <v/>
      </c>
    </row>
    <row r="45">
      <c r="A45" s="3" t="inlineStr"/>
      <c r="B45" s="3" t="inlineStr"/>
      <c r="C45" s="3" t="inlineStr"/>
      <c r="D45" s="3" t="inlineStr"/>
      <c r="E45" s="3" t="inlineStr"/>
      <c r="F45" s="3" t="inlineStr"/>
      <c r="G45" s="4" t="inlineStr"/>
      <c r="H45" s="3" t="inlineStr"/>
      <c r="I45" s="5" t="inlineStr"/>
      <c r="J45" s="3" t="inlineStr"/>
      <c r="K45" s="5" t="inlineStr"/>
      <c r="L45" s="3" t="inlineStr"/>
      <c r="M45" s="3" t="inlineStr"/>
      <c r="N45" s="3" t="inlineStr"/>
      <c r="O45" s="3" t="inlineStr"/>
      <c r="P45" s="3" t="inlineStr"/>
      <c r="Q45" s="6">
        <f>IF(S45="Sí",I45-K45,"")</f>
        <v/>
      </c>
      <c r="R45" s="7">
        <f>IF(S45="Sí",Q45/I45,"")</f>
        <v/>
      </c>
      <c r="S45" s="8">
        <f>IF(AND('Preparación'!$B$2&lt;&gt;"",'Preparación'!$B$3&lt;&gt;"",COUNTIF(CodigosCasos,B45)=1,COUNTIF(CodigosTareas,C45)=1,COUNTIFS($B$2:$B$201,B45,$C$2:$C$201,C45,$D$2:$D$201,D45)=1,ISNUMBER(D45),D45&gt;0,INT(D45)=D45,D45&lt;=100,OR(E45="Manual → LegalTriage",E45="LegalTriage → Manual"),F45&lt;&gt;"",ISNUMBER(G45),G45&gt;0,H45="Correcta",J45="Correcta",L45="Sí",ISNUMBER(I45),ISNUMBER(K45),I45&gt;0,K45&gt;0,O45&lt;&gt;"",P45&lt;&gt;""),"Sí","")</f>
        <v/>
      </c>
    </row>
    <row r="46">
      <c r="A46" s="3" t="inlineStr"/>
      <c r="B46" s="3" t="inlineStr"/>
      <c r="C46" s="3" t="inlineStr"/>
      <c r="D46" s="3" t="inlineStr"/>
      <c r="E46" s="3" t="inlineStr"/>
      <c r="F46" s="3" t="inlineStr"/>
      <c r="G46" s="4" t="inlineStr"/>
      <c r="H46" s="3" t="inlineStr"/>
      <c r="I46" s="5" t="inlineStr"/>
      <c r="J46" s="3" t="inlineStr"/>
      <c r="K46" s="5" t="inlineStr"/>
      <c r="L46" s="3" t="inlineStr"/>
      <c r="M46" s="3" t="inlineStr"/>
      <c r="N46" s="3" t="inlineStr"/>
      <c r="O46" s="3" t="inlineStr"/>
      <c r="P46" s="3" t="inlineStr"/>
      <c r="Q46" s="6">
        <f>IF(S46="Sí",I46-K46,"")</f>
        <v/>
      </c>
      <c r="R46" s="7">
        <f>IF(S46="Sí",Q46/I46,"")</f>
        <v/>
      </c>
      <c r="S46" s="8">
        <f>IF(AND('Preparación'!$B$2&lt;&gt;"",'Preparación'!$B$3&lt;&gt;"",COUNTIF(CodigosCasos,B46)=1,COUNTIF(CodigosTareas,C46)=1,COUNTIFS($B$2:$B$201,B46,$C$2:$C$201,C46,$D$2:$D$201,D46)=1,ISNUMBER(D46),D46&gt;0,INT(D46)=D46,D46&lt;=100,OR(E46="Manual → LegalTriage",E46="LegalTriage → Manual"),F46&lt;&gt;"",ISNUMBER(G46),G46&gt;0,H46="Correcta",J46="Correcta",L46="Sí",ISNUMBER(I46),ISNUMBER(K46),I46&gt;0,K46&gt;0,O46&lt;&gt;"",P46&lt;&gt;""),"Sí","")</f>
        <v/>
      </c>
    </row>
    <row r="47">
      <c r="A47" s="3" t="inlineStr"/>
      <c r="B47" s="3" t="inlineStr"/>
      <c r="C47" s="3" t="inlineStr"/>
      <c r="D47" s="3" t="inlineStr"/>
      <c r="E47" s="3" t="inlineStr"/>
      <c r="F47" s="3" t="inlineStr"/>
      <c r="G47" s="4" t="inlineStr"/>
      <c r="H47" s="3" t="inlineStr"/>
      <c r="I47" s="5" t="inlineStr"/>
      <c r="J47" s="3" t="inlineStr"/>
      <c r="K47" s="5" t="inlineStr"/>
      <c r="L47" s="3" t="inlineStr"/>
      <c r="M47" s="3" t="inlineStr"/>
      <c r="N47" s="3" t="inlineStr"/>
      <c r="O47" s="3" t="inlineStr"/>
      <c r="P47" s="3" t="inlineStr"/>
      <c r="Q47" s="6">
        <f>IF(S47="Sí",I47-K47,"")</f>
        <v/>
      </c>
      <c r="R47" s="7">
        <f>IF(S47="Sí",Q47/I47,"")</f>
        <v/>
      </c>
      <c r="S47" s="8">
        <f>IF(AND('Preparación'!$B$2&lt;&gt;"",'Preparación'!$B$3&lt;&gt;"",COUNTIF(CodigosCasos,B47)=1,COUNTIF(CodigosTareas,C47)=1,COUNTIFS($B$2:$B$201,B47,$C$2:$C$201,C47,$D$2:$D$201,D47)=1,ISNUMBER(D47),D47&gt;0,INT(D47)=D47,D47&lt;=100,OR(E47="Manual → LegalTriage",E47="LegalTriage → Manual"),F47&lt;&gt;"",ISNUMBER(G47),G47&gt;0,H47="Correcta",J47="Correcta",L47="Sí",ISNUMBER(I47),ISNUMBER(K47),I47&gt;0,K47&gt;0,O47&lt;&gt;"",P47&lt;&gt;""),"Sí","")</f>
        <v/>
      </c>
    </row>
    <row r="48">
      <c r="A48" s="3" t="inlineStr"/>
      <c r="B48" s="3" t="inlineStr"/>
      <c r="C48" s="3" t="inlineStr"/>
      <c r="D48" s="3" t="inlineStr"/>
      <c r="E48" s="3" t="inlineStr"/>
      <c r="F48" s="3" t="inlineStr"/>
      <c r="G48" s="4" t="inlineStr"/>
      <c r="H48" s="3" t="inlineStr"/>
      <c r="I48" s="5" t="inlineStr"/>
      <c r="J48" s="3" t="inlineStr"/>
      <c r="K48" s="5" t="inlineStr"/>
      <c r="L48" s="3" t="inlineStr"/>
      <c r="M48" s="3" t="inlineStr"/>
      <c r="N48" s="3" t="inlineStr"/>
      <c r="O48" s="3" t="inlineStr"/>
      <c r="P48" s="3" t="inlineStr"/>
      <c r="Q48" s="6">
        <f>IF(S48="Sí",I48-K48,"")</f>
        <v/>
      </c>
      <c r="R48" s="7">
        <f>IF(S48="Sí",Q48/I48,"")</f>
        <v/>
      </c>
      <c r="S48" s="8">
        <f>IF(AND('Preparación'!$B$2&lt;&gt;"",'Preparación'!$B$3&lt;&gt;"",COUNTIF(CodigosCasos,B48)=1,COUNTIF(CodigosTareas,C48)=1,COUNTIFS($B$2:$B$201,B48,$C$2:$C$201,C48,$D$2:$D$201,D48)=1,ISNUMBER(D48),D48&gt;0,INT(D48)=D48,D48&lt;=100,OR(E48="Manual → LegalTriage",E48="LegalTriage → Manual"),F48&lt;&gt;"",ISNUMBER(G48),G48&gt;0,H48="Correcta",J48="Correcta",L48="Sí",ISNUMBER(I48),ISNUMBER(K48),I48&gt;0,K48&gt;0,O48&lt;&gt;"",P48&lt;&gt;""),"Sí","")</f>
        <v/>
      </c>
    </row>
    <row r="49">
      <c r="A49" s="3" t="inlineStr"/>
      <c r="B49" s="3" t="inlineStr"/>
      <c r="C49" s="3" t="inlineStr"/>
      <c r="D49" s="3" t="inlineStr"/>
      <c r="E49" s="3" t="inlineStr"/>
      <c r="F49" s="3" t="inlineStr"/>
      <c r="G49" s="4" t="inlineStr"/>
      <c r="H49" s="3" t="inlineStr"/>
      <c r="I49" s="5" t="inlineStr"/>
      <c r="J49" s="3" t="inlineStr"/>
      <c r="K49" s="5" t="inlineStr"/>
      <c r="L49" s="3" t="inlineStr"/>
      <c r="M49" s="3" t="inlineStr"/>
      <c r="N49" s="3" t="inlineStr"/>
      <c r="O49" s="3" t="inlineStr"/>
      <c r="P49" s="3" t="inlineStr"/>
      <c r="Q49" s="6">
        <f>IF(S49="Sí",I49-K49,"")</f>
        <v/>
      </c>
      <c r="R49" s="7">
        <f>IF(S49="Sí",Q49/I49,"")</f>
        <v/>
      </c>
      <c r="S49" s="8">
        <f>IF(AND('Preparación'!$B$2&lt;&gt;"",'Preparación'!$B$3&lt;&gt;"",COUNTIF(CodigosCasos,B49)=1,COUNTIF(CodigosTareas,C49)=1,COUNTIFS($B$2:$B$201,B49,$C$2:$C$201,C49,$D$2:$D$201,D49)=1,ISNUMBER(D49),D49&gt;0,INT(D49)=D49,D49&lt;=100,OR(E49="Manual → LegalTriage",E49="LegalTriage → Manual"),F49&lt;&gt;"",ISNUMBER(G49),G49&gt;0,H49="Correcta",J49="Correcta",L49="Sí",ISNUMBER(I49),ISNUMBER(K49),I49&gt;0,K49&gt;0,O49&lt;&gt;"",P49&lt;&gt;""),"Sí","")</f>
        <v/>
      </c>
    </row>
    <row r="50">
      <c r="A50" s="3" t="inlineStr"/>
      <c r="B50" s="3" t="inlineStr"/>
      <c r="C50" s="3" t="inlineStr"/>
      <c r="D50" s="3" t="inlineStr"/>
      <c r="E50" s="3" t="inlineStr"/>
      <c r="F50" s="3" t="inlineStr"/>
      <c r="G50" s="4" t="inlineStr"/>
      <c r="H50" s="3" t="inlineStr"/>
      <c r="I50" s="5" t="inlineStr"/>
      <c r="J50" s="3" t="inlineStr"/>
      <c r="K50" s="5" t="inlineStr"/>
      <c r="L50" s="3" t="inlineStr"/>
      <c r="M50" s="3" t="inlineStr"/>
      <c r="N50" s="3" t="inlineStr"/>
      <c r="O50" s="3" t="inlineStr"/>
      <c r="P50" s="3" t="inlineStr"/>
      <c r="Q50" s="6">
        <f>IF(S50="Sí",I50-K50,"")</f>
        <v/>
      </c>
      <c r="R50" s="7">
        <f>IF(S50="Sí",Q50/I50,"")</f>
        <v/>
      </c>
      <c r="S50" s="8">
        <f>IF(AND('Preparación'!$B$2&lt;&gt;"",'Preparación'!$B$3&lt;&gt;"",COUNTIF(CodigosCasos,B50)=1,COUNTIF(CodigosTareas,C50)=1,COUNTIFS($B$2:$B$201,B50,$C$2:$C$201,C50,$D$2:$D$201,D50)=1,ISNUMBER(D50),D50&gt;0,INT(D50)=D50,D50&lt;=100,OR(E50="Manual → LegalTriage",E50="LegalTriage → Manual"),F50&lt;&gt;"",ISNUMBER(G50),G50&gt;0,H50="Correcta",J50="Correcta",L50="Sí",ISNUMBER(I50),ISNUMBER(K50),I50&gt;0,K50&gt;0,O50&lt;&gt;"",P50&lt;&gt;""),"Sí","")</f>
        <v/>
      </c>
    </row>
    <row r="51">
      <c r="A51" s="3" t="inlineStr"/>
      <c r="B51" s="3" t="inlineStr"/>
      <c r="C51" s="3" t="inlineStr"/>
      <c r="D51" s="3" t="inlineStr"/>
      <c r="E51" s="3" t="inlineStr"/>
      <c r="F51" s="3" t="inlineStr"/>
      <c r="G51" s="4" t="inlineStr"/>
      <c r="H51" s="3" t="inlineStr"/>
      <c r="I51" s="5" t="inlineStr"/>
      <c r="J51" s="3" t="inlineStr"/>
      <c r="K51" s="5" t="inlineStr"/>
      <c r="L51" s="3" t="inlineStr"/>
      <c r="M51" s="3" t="inlineStr"/>
      <c r="N51" s="3" t="inlineStr"/>
      <c r="O51" s="3" t="inlineStr"/>
      <c r="P51" s="3" t="inlineStr"/>
      <c r="Q51" s="6">
        <f>IF(S51="Sí",I51-K51,"")</f>
        <v/>
      </c>
      <c r="R51" s="7">
        <f>IF(S51="Sí",Q51/I51,"")</f>
        <v/>
      </c>
      <c r="S51" s="8">
        <f>IF(AND('Preparación'!$B$2&lt;&gt;"",'Preparación'!$B$3&lt;&gt;"",COUNTIF(CodigosCasos,B51)=1,COUNTIF(CodigosTareas,C51)=1,COUNTIFS($B$2:$B$201,B51,$C$2:$C$201,C51,$D$2:$D$201,D51)=1,ISNUMBER(D51),D51&gt;0,INT(D51)=D51,D51&lt;=100,OR(E51="Manual → LegalTriage",E51="LegalTriage → Manual"),F51&lt;&gt;"",ISNUMBER(G51),G51&gt;0,H51="Correcta",J51="Correcta",L51="Sí",ISNUMBER(I51),ISNUMBER(K51),I51&gt;0,K51&gt;0,O51&lt;&gt;"",P51&lt;&gt;""),"Sí","")</f>
        <v/>
      </c>
    </row>
    <row r="52">
      <c r="A52" s="3" t="inlineStr"/>
      <c r="B52" s="3" t="inlineStr"/>
      <c r="C52" s="3" t="inlineStr"/>
      <c r="D52" s="3" t="inlineStr"/>
      <c r="E52" s="3" t="inlineStr"/>
      <c r="F52" s="3" t="inlineStr"/>
      <c r="G52" s="4" t="inlineStr"/>
      <c r="H52" s="3" t="inlineStr"/>
      <c r="I52" s="5" t="inlineStr"/>
      <c r="J52" s="3" t="inlineStr"/>
      <c r="K52" s="5" t="inlineStr"/>
      <c r="L52" s="3" t="inlineStr"/>
      <c r="M52" s="3" t="inlineStr"/>
      <c r="N52" s="3" t="inlineStr"/>
      <c r="O52" s="3" t="inlineStr"/>
      <c r="P52" s="3" t="inlineStr"/>
      <c r="Q52" s="6">
        <f>IF(S52="Sí",I52-K52,"")</f>
        <v/>
      </c>
      <c r="R52" s="7">
        <f>IF(S52="Sí",Q52/I52,"")</f>
        <v/>
      </c>
      <c r="S52" s="8">
        <f>IF(AND('Preparación'!$B$2&lt;&gt;"",'Preparación'!$B$3&lt;&gt;"",COUNTIF(CodigosCasos,B52)=1,COUNTIF(CodigosTareas,C52)=1,COUNTIFS($B$2:$B$201,B52,$C$2:$C$201,C52,$D$2:$D$201,D52)=1,ISNUMBER(D52),D52&gt;0,INT(D52)=D52,D52&lt;=100,OR(E52="Manual → LegalTriage",E52="LegalTriage → Manual"),F52&lt;&gt;"",ISNUMBER(G52),G52&gt;0,H52="Correcta",J52="Correcta",L52="Sí",ISNUMBER(I52),ISNUMBER(K52),I52&gt;0,K52&gt;0,O52&lt;&gt;"",P52&lt;&gt;""),"Sí","")</f>
        <v/>
      </c>
    </row>
    <row r="53">
      <c r="A53" s="3" t="inlineStr"/>
      <c r="B53" s="3" t="inlineStr"/>
      <c r="C53" s="3" t="inlineStr"/>
      <c r="D53" s="3" t="inlineStr"/>
      <c r="E53" s="3" t="inlineStr"/>
      <c r="F53" s="3" t="inlineStr"/>
      <c r="G53" s="4" t="inlineStr"/>
      <c r="H53" s="3" t="inlineStr"/>
      <c r="I53" s="5" t="inlineStr"/>
      <c r="J53" s="3" t="inlineStr"/>
      <c r="K53" s="5" t="inlineStr"/>
      <c r="L53" s="3" t="inlineStr"/>
      <c r="M53" s="3" t="inlineStr"/>
      <c r="N53" s="3" t="inlineStr"/>
      <c r="O53" s="3" t="inlineStr"/>
      <c r="P53" s="3" t="inlineStr"/>
      <c r="Q53" s="6">
        <f>IF(S53="Sí",I53-K53,"")</f>
        <v/>
      </c>
      <c r="R53" s="7">
        <f>IF(S53="Sí",Q53/I53,"")</f>
        <v/>
      </c>
      <c r="S53" s="8">
        <f>IF(AND('Preparación'!$B$2&lt;&gt;"",'Preparación'!$B$3&lt;&gt;"",COUNTIF(CodigosCasos,B53)=1,COUNTIF(CodigosTareas,C53)=1,COUNTIFS($B$2:$B$201,B53,$C$2:$C$201,C53,$D$2:$D$201,D53)=1,ISNUMBER(D53),D53&gt;0,INT(D53)=D53,D53&lt;=100,OR(E53="Manual → LegalTriage",E53="LegalTriage → Manual"),F53&lt;&gt;"",ISNUMBER(G53),G53&gt;0,H53="Correcta",J53="Correcta",L53="Sí",ISNUMBER(I53),ISNUMBER(K53),I53&gt;0,K53&gt;0,O53&lt;&gt;"",P53&lt;&gt;""),"Sí","")</f>
        <v/>
      </c>
    </row>
    <row r="54">
      <c r="A54" s="3" t="inlineStr"/>
      <c r="B54" s="3" t="inlineStr"/>
      <c r="C54" s="3" t="inlineStr"/>
      <c r="D54" s="3" t="inlineStr"/>
      <c r="E54" s="3" t="inlineStr"/>
      <c r="F54" s="3" t="inlineStr"/>
      <c r="G54" s="4" t="inlineStr"/>
      <c r="H54" s="3" t="inlineStr"/>
      <c r="I54" s="5" t="inlineStr"/>
      <c r="J54" s="3" t="inlineStr"/>
      <c r="K54" s="5" t="inlineStr"/>
      <c r="L54" s="3" t="inlineStr"/>
      <c r="M54" s="3" t="inlineStr"/>
      <c r="N54" s="3" t="inlineStr"/>
      <c r="O54" s="3" t="inlineStr"/>
      <c r="P54" s="3" t="inlineStr"/>
      <c r="Q54" s="6">
        <f>IF(S54="Sí",I54-K54,"")</f>
        <v/>
      </c>
      <c r="R54" s="7">
        <f>IF(S54="Sí",Q54/I54,"")</f>
        <v/>
      </c>
      <c r="S54" s="8">
        <f>IF(AND('Preparación'!$B$2&lt;&gt;"",'Preparación'!$B$3&lt;&gt;"",COUNTIF(CodigosCasos,B54)=1,COUNTIF(CodigosTareas,C54)=1,COUNTIFS($B$2:$B$201,B54,$C$2:$C$201,C54,$D$2:$D$201,D54)=1,ISNUMBER(D54),D54&gt;0,INT(D54)=D54,D54&lt;=100,OR(E54="Manual → LegalTriage",E54="LegalTriage → Manual"),F54&lt;&gt;"",ISNUMBER(G54),G54&gt;0,H54="Correcta",J54="Correcta",L54="Sí",ISNUMBER(I54),ISNUMBER(K54),I54&gt;0,K54&gt;0,O54&lt;&gt;"",P54&lt;&gt;""),"Sí","")</f>
        <v/>
      </c>
    </row>
    <row r="55">
      <c r="A55" s="3" t="inlineStr"/>
      <c r="B55" s="3" t="inlineStr"/>
      <c r="C55" s="3" t="inlineStr"/>
      <c r="D55" s="3" t="inlineStr"/>
      <c r="E55" s="3" t="inlineStr"/>
      <c r="F55" s="3" t="inlineStr"/>
      <c r="G55" s="4" t="inlineStr"/>
      <c r="H55" s="3" t="inlineStr"/>
      <c r="I55" s="5" t="inlineStr"/>
      <c r="J55" s="3" t="inlineStr"/>
      <c r="K55" s="5" t="inlineStr"/>
      <c r="L55" s="3" t="inlineStr"/>
      <c r="M55" s="3" t="inlineStr"/>
      <c r="N55" s="3" t="inlineStr"/>
      <c r="O55" s="3" t="inlineStr"/>
      <c r="P55" s="3" t="inlineStr"/>
      <c r="Q55" s="6">
        <f>IF(S55="Sí",I55-K55,"")</f>
        <v/>
      </c>
      <c r="R55" s="7">
        <f>IF(S55="Sí",Q55/I55,"")</f>
        <v/>
      </c>
      <c r="S55" s="8">
        <f>IF(AND('Preparación'!$B$2&lt;&gt;"",'Preparación'!$B$3&lt;&gt;"",COUNTIF(CodigosCasos,B55)=1,COUNTIF(CodigosTareas,C55)=1,COUNTIFS($B$2:$B$201,B55,$C$2:$C$201,C55,$D$2:$D$201,D55)=1,ISNUMBER(D55),D55&gt;0,INT(D55)=D55,D55&lt;=100,OR(E55="Manual → LegalTriage",E55="LegalTriage → Manual"),F55&lt;&gt;"",ISNUMBER(G55),G55&gt;0,H55="Correcta",J55="Correcta",L55="Sí",ISNUMBER(I55),ISNUMBER(K55),I55&gt;0,K55&gt;0,O55&lt;&gt;"",P55&lt;&gt;""),"Sí","")</f>
        <v/>
      </c>
    </row>
    <row r="56">
      <c r="A56" s="3" t="inlineStr"/>
      <c r="B56" s="3" t="inlineStr"/>
      <c r="C56" s="3" t="inlineStr"/>
      <c r="D56" s="3" t="inlineStr"/>
      <c r="E56" s="3" t="inlineStr"/>
      <c r="F56" s="3" t="inlineStr"/>
      <c r="G56" s="4" t="inlineStr"/>
      <c r="H56" s="3" t="inlineStr"/>
      <c r="I56" s="5" t="inlineStr"/>
      <c r="J56" s="3" t="inlineStr"/>
      <c r="K56" s="5" t="inlineStr"/>
      <c r="L56" s="3" t="inlineStr"/>
      <c r="M56" s="3" t="inlineStr"/>
      <c r="N56" s="3" t="inlineStr"/>
      <c r="O56" s="3" t="inlineStr"/>
      <c r="P56" s="3" t="inlineStr"/>
      <c r="Q56" s="6">
        <f>IF(S56="Sí",I56-K56,"")</f>
        <v/>
      </c>
      <c r="R56" s="7">
        <f>IF(S56="Sí",Q56/I56,"")</f>
        <v/>
      </c>
      <c r="S56" s="8">
        <f>IF(AND('Preparación'!$B$2&lt;&gt;"",'Preparación'!$B$3&lt;&gt;"",COUNTIF(CodigosCasos,B56)=1,COUNTIF(CodigosTareas,C56)=1,COUNTIFS($B$2:$B$201,B56,$C$2:$C$201,C56,$D$2:$D$201,D56)=1,ISNUMBER(D56),D56&gt;0,INT(D56)=D56,D56&lt;=100,OR(E56="Manual → LegalTriage",E56="LegalTriage → Manual"),F56&lt;&gt;"",ISNUMBER(G56),G56&gt;0,H56="Correcta",J56="Correcta",L56="Sí",ISNUMBER(I56),ISNUMBER(K56),I56&gt;0,K56&gt;0,O56&lt;&gt;"",P56&lt;&gt;""),"Sí","")</f>
        <v/>
      </c>
    </row>
    <row r="57">
      <c r="A57" s="3" t="inlineStr"/>
      <c r="B57" s="3" t="inlineStr"/>
      <c r="C57" s="3" t="inlineStr"/>
      <c r="D57" s="3" t="inlineStr"/>
      <c r="E57" s="3" t="inlineStr"/>
      <c r="F57" s="3" t="inlineStr"/>
      <c r="G57" s="4" t="inlineStr"/>
      <c r="H57" s="3" t="inlineStr"/>
      <c r="I57" s="5" t="inlineStr"/>
      <c r="J57" s="3" t="inlineStr"/>
      <c r="K57" s="5" t="inlineStr"/>
      <c r="L57" s="3" t="inlineStr"/>
      <c r="M57" s="3" t="inlineStr"/>
      <c r="N57" s="3" t="inlineStr"/>
      <c r="O57" s="3" t="inlineStr"/>
      <c r="P57" s="3" t="inlineStr"/>
      <c r="Q57" s="6">
        <f>IF(S57="Sí",I57-K57,"")</f>
        <v/>
      </c>
      <c r="R57" s="7">
        <f>IF(S57="Sí",Q57/I57,"")</f>
        <v/>
      </c>
      <c r="S57" s="8">
        <f>IF(AND('Preparación'!$B$2&lt;&gt;"",'Preparación'!$B$3&lt;&gt;"",COUNTIF(CodigosCasos,B57)=1,COUNTIF(CodigosTareas,C57)=1,COUNTIFS($B$2:$B$201,B57,$C$2:$C$201,C57,$D$2:$D$201,D57)=1,ISNUMBER(D57),D57&gt;0,INT(D57)=D57,D57&lt;=100,OR(E57="Manual → LegalTriage",E57="LegalTriage → Manual"),F57&lt;&gt;"",ISNUMBER(G57),G57&gt;0,H57="Correcta",J57="Correcta",L57="Sí",ISNUMBER(I57),ISNUMBER(K57),I57&gt;0,K57&gt;0,O57&lt;&gt;"",P57&lt;&gt;""),"Sí","")</f>
        <v/>
      </c>
    </row>
    <row r="58">
      <c r="A58" s="3" t="inlineStr"/>
      <c r="B58" s="3" t="inlineStr"/>
      <c r="C58" s="3" t="inlineStr"/>
      <c r="D58" s="3" t="inlineStr"/>
      <c r="E58" s="3" t="inlineStr"/>
      <c r="F58" s="3" t="inlineStr"/>
      <c r="G58" s="4" t="inlineStr"/>
      <c r="H58" s="3" t="inlineStr"/>
      <c r="I58" s="5" t="inlineStr"/>
      <c r="J58" s="3" t="inlineStr"/>
      <c r="K58" s="5" t="inlineStr"/>
      <c r="L58" s="3" t="inlineStr"/>
      <c r="M58" s="3" t="inlineStr"/>
      <c r="N58" s="3" t="inlineStr"/>
      <c r="O58" s="3" t="inlineStr"/>
      <c r="P58" s="3" t="inlineStr"/>
      <c r="Q58" s="6">
        <f>IF(S58="Sí",I58-K58,"")</f>
        <v/>
      </c>
      <c r="R58" s="7">
        <f>IF(S58="Sí",Q58/I58,"")</f>
        <v/>
      </c>
      <c r="S58" s="8">
        <f>IF(AND('Preparación'!$B$2&lt;&gt;"",'Preparación'!$B$3&lt;&gt;"",COUNTIF(CodigosCasos,B58)=1,COUNTIF(CodigosTareas,C58)=1,COUNTIFS($B$2:$B$201,B58,$C$2:$C$201,C58,$D$2:$D$201,D58)=1,ISNUMBER(D58),D58&gt;0,INT(D58)=D58,D58&lt;=100,OR(E58="Manual → LegalTriage",E58="LegalTriage → Manual"),F58&lt;&gt;"",ISNUMBER(G58),G58&gt;0,H58="Correcta",J58="Correcta",L58="Sí",ISNUMBER(I58),ISNUMBER(K58),I58&gt;0,K58&gt;0,O58&lt;&gt;"",P58&lt;&gt;""),"Sí","")</f>
        <v/>
      </c>
    </row>
    <row r="59">
      <c r="A59" s="3" t="inlineStr"/>
      <c r="B59" s="3" t="inlineStr"/>
      <c r="C59" s="3" t="inlineStr"/>
      <c r="D59" s="3" t="inlineStr"/>
      <c r="E59" s="3" t="inlineStr"/>
      <c r="F59" s="3" t="inlineStr"/>
      <c r="G59" s="4" t="inlineStr"/>
      <c r="H59" s="3" t="inlineStr"/>
      <c r="I59" s="5" t="inlineStr"/>
      <c r="J59" s="3" t="inlineStr"/>
      <c r="K59" s="5" t="inlineStr"/>
      <c r="L59" s="3" t="inlineStr"/>
      <c r="M59" s="3" t="inlineStr"/>
      <c r="N59" s="3" t="inlineStr"/>
      <c r="O59" s="3" t="inlineStr"/>
      <c r="P59" s="3" t="inlineStr"/>
      <c r="Q59" s="6">
        <f>IF(S59="Sí",I59-K59,"")</f>
        <v/>
      </c>
      <c r="R59" s="7">
        <f>IF(S59="Sí",Q59/I59,"")</f>
        <v/>
      </c>
      <c r="S59" s="8">
        <f>IF(AND('Preparación'!$B$2&lt;&gt;"",'Preparación'!$B$3&lt;&gt;"",COUNTIF(CodigosCasos,B59)=1,COUNTIF(CodigosTareas,C59)=1,COUNTIFS($B$2:$B$201,B59,$C$2:$C$201,C59,$D$2:$D$201,D59)=1,ISNUMBER(D59),D59&gt;0,INT(D59)=D59,D59&lt;=100,OR(E59="Manual → LegalTriage",E59="LegalTriage → Manual"),F59&lt;&gt;"",ISNUMBER(G59),G59&gt;0,H59="Correcta",J59="Correcta",L59="Sí",ISNUMBER(I59),ISNUMBER(K59),I59&gt;0,K59&gt;0,O59&lt;&gt;"",P59&lt;&gt;""),"Sí","")</f>
        <v/>
      </c>
    </row>
    <row r="60">
      <c r="A60" s="3" t="inlineStr"/>
      <c r="B60" s="3" t="inlineStr"/>
      <c r="C60" s="3" t="inlineStr"/>
      <c r="D60" s="3" t="inlineStr"/>
      <c r="E60" s="3" t="inlineStr"/>
      <c r="F60" s="3" t="inlineStr"/>
      <c r="G60" s="4" t="inlineStr"/>
      <c r="H60" s="3" t="inlineStr"/>
      <c r="I60" s="5" t="inlineStr"/>
      <c r="J60" s="3" t="inlineStr"/>
      <c r="K60" s="5" t="inlineStr"/>
      <c r="L60" s="3" t="inlineStr"/>
      <c r="M60" s="3" t="inlineStr"/>
      <c r="N60" s="3" t="inlineStr"/>
      <c r="O60" s="3" t="inlineStr"/>
      <c r="P60" s="3" t="inlineStr"/>
      <c r="Q60" s="6">
        <f>IF(S60="Sí",I60-K60,"")</f>
        <v/>
      </c>
      <c r="R60" s="7">
        <f>IF(S60="Sí",Q60/I60,"")</f>
        <v/>
      </c>
      <c r="S60" s="8">
        <f>IF(AND('Preparación'!$B$2&lt;&gt;"",'Preparación'!$B$3&lt;&gt;"",COUNTIF(CodigosCasos,B60)=1,COUNTIF(CodigosTareas,C60)=1,COUNTIFS($B$2:$B$201,B60,$C$2:$C$201,C60,$D$2:$D$201,D60)=1,ISNUMBER(D60),D60&gt;0,INT(D60)=D60,D60&lt;=100,OR(E60="Manual → LegalTriage",E60="LegalTriage → Manual"),F60&lt;&gt;"",ISNUMBER(G60),G60&gt;0,H60="Correcta",J60="Correcta",L60="Sí",ISNUMBER(I60),ISNUMBER(K60),I60&gt;0,K60&gt;0,O60&lt;&gt;"",P60&lt;&gt;""),"Sí","")</f>
        <v/>
      </c>
    </row>
    <row r="61">
      <c r="A61" s="3" t="inlineStr"/>
      <c r="B61" s="3" t="inlineStr"/>
      <c r="C61" s="3" t="inlineStr"/>
      <c r="D61" s="3" t="inlineStr"/>
      <c r="E61" s="3" t="inlineStr"/>
      <c r="F61" s="3" t="inlineStr"/>
      <c r="G61" s="4" t="inlineStr"/>
      <c r="H61" s="3" t="inlineStr"/>
      <c r="I61" s="5" t="inlineStr"/>
      <c r="J61" s="3" t="inlineStr"/>
      <c r="K61" s="5" t="inlineStr"/>
      <c r="L61" s="3" t="inlineStr"/>
      <c r="M61" s="3" t="inlineStr"/>
      <c r="N61" s="3" t="inlineStr"/>
      <c r="O61" s="3" t="inlineStr"/>
      <c r="P61" s="3" t="inlineStr"/>
      <c r="Q61" s="6">
        <f>IF(S61="Sí",I61-K61,"")</f>
        <v/>
      </c>
      <c r="R61" s="7">
        <f>IF(S61="Sí",Q61/I61,"")</f>
        <v/>
      </c>
      <c r="S61" s="8">
        <f>IF(AND('Preparación'!$B$2&lt;&gt;"",'Preparación'!$B$3&lt;&gt;"",COUNTIF(CodigosCasos,B61)=1,COUNTIF(CodigosTareas,C61)=1,COUNTIFS($B$2:$B$201,B61,$C$2:$C$201,C61,$D$2:$D$201,D61)=1,ISNUMBER(D61),D61&gt;0,INT(D61)=D61,D61&lt;=100,OR(E61="Manual → LegalTriage",E61="LegalTriage → Manual"),F61&lt;&gt;"",ISNUMBER(G61),G61&gt;0,H61="Correcta",J61="Correcta",L61="Sí",ISNUMBER(I61),ISNUMBER(K61),I61&gt;0,K61&gt;0,O61&lt;&gt;"",P61&lt;&gt;""),"Sí","")</f>
        <v/>
      </c>
    </row>
    <row r="62">
      <c r="A62" s="3" t="inlineStr"/>
      <c r="B62" s="3" t="inlineStr"/>
      <c r="C62" s="3" t="inlineStr"/>
      <c r="D62" s="3" t="inlineStr"/>
      <c r="E62" s="3" t="inlineStr"/>
      <c r="F62" s="3" t="inlineStr"/>
      <c r="G62" s="4" t="inlineStr"/>
      <c r="H62" s="3" t="inlineStr"/>
      <c r="I62" s="5" t="inlineStr"/>
      <c r="J62" s="3" t="inlineStr"/>
      <c r="K62" s="5" t="inlineStr"/>
      <c r="L62" s="3" t="inlineStr"/>
      <c r="M62" s="3" t="inlineStr"/>
      <c r="N62" s="3" t="inlineStr"/>
      <c r="O62" s="3" t="inlineStr"/>
      <c r="P62" s="3" t="inlineStr"/>
      <c r="Q62" s="6">
        <f>IF(S62="Sí",I62-K62,"")</f>
        <v/>
      </c>
      <c r="R62" s="7">
        <f>IF(S62="Sí",Q62/I62,"")</f>
        <v/>
      </c>
      <c r="S62" s="8">
        <f>IF(AND('Preparación'!$B$2&lt;&gt;"",'Preparación'!$B$3&lt;&gt;"",COUNTIF(CodigosCasos,B62)=1,COUNTIF(CodigosTareas,C62)=1,COUNTIFS($B$2:$B$201,B62,$C$2:$C$201,C62,$D$2:$D$201,D62)=1,ISNUMBER(D62),D62&gt;0,INT(D62)=D62,D62&lt;=100,OR(E62="Manual → LegalTriage",E62="LegalTriage → Manual"),F62&lt;&gt;"",ISNUMBER(G62),G62&gt;0,H62="Correcta",J62="Correcta",L62="Sí",ISNUMBER(I62),ISNUMBER(K62),I62&gt;0,K62&gt;0,O62&lt;&gt;"",P62&lt;&gt;""),"Sí","")</f>
        <v/>
      </c>
    </row>
    <row r="63">
      <c r="A63" s="3" t="inlineStr"/>
      <c r="B63" s="3" t="inlineStr"/>
      <c r="C63" s="3" t="inlineStr"/>
      <c r="D63" s="3" t="inlineStr"/>
      <c r="E63" s="3" t="inlineStr"/>
      <c r="F63" s="3" t="inlineStr"/>
      <c r="G63" s="4" t="inlineStr"/>
      <c r="H63" s="3" t="inlineStr"/>
      <c r="I63" s="5" t="inlineStr"/>
      <c r="J63" s="3" t="inlineStr"/>
      <c r="K63" s="5" t="inlineStr"/>
      <c r="L63" s="3" t="inlineStr"/>
      <c r="M63" s="3" t="inlineStr"/>
      <c r="N63" s="3" t="inlineStr"/>
      <c r="O63" s="3" t="inlineStr"/>
      <c r="P63" s="3" t="inlineStr"/>
      <c r="Q63" s="6">
        <f>IF(S63="Sí",I63-K63,"")</f>
        <v/>
      </c>
      <c r="R63" s="7">
        <f>IF(S63="Sí",Q63/I63,"")</f>
        <v/>
      </c>
      <c r="S63" s="8">
        <f>IF(AND('Preparación'!$B$2&lt;&gt;"",'Preparación'!$B$3&lt;&gt;"",COUNTIF(CodigosCasos,B63)=1,COUNTIF(CodigosTareas,C63)=1,COUNTIFS($B$2:$B$201,B63,$C$2:$C$201,C63,$D$2:$D$201,D63)=1,ISNUMBER(D63),D63&gt;0,INT(D63)=D63,D63&lt;=100,OR(E63="Manual → LegalTriage",E63="LegalTriage → Manual"),F63&lt;&gt;"",ISNUMBER(G63),G63&gt;0,H63="Correcta",J63="Correcta",L63="Sí",ISNUMBER(I63),ISNUMBER(K63),I63&gt;0,K63&gt;0,O63&lt;&gt;"",P63&lt;&gt;""),"Sí","")</f>
        <v/>
      </c>
    </row>
    <row r="64">
      <c r="A64" s="3" t="inlineStr"/>
      <c r="B64" s="3" t="inlineStr"/>
      <c r="C64" s="3" t="inlineStr"/>
      <c r="D64" s="3" t="inlineStr"/>
      <c r="E64" s="3" t="inlineStr"/>
      <c r="F64" s="3" t="inlineStr"/>
      <c r="G64" s="4" t="inlineStr"/>
      <c r="H64" s="3" t="inlineStr"/>
      <c r="I64" s="5" t="inlineStr"/>
      <c r="J64" s="3" t="inlineStr"/>
      <c r="K64" s="5" t="inlineStr"/>
      <c r="L64" s="3" t="inlineStr"/>
      <c r="M64" s="3" t="inlineStr"/>
      <c r="N64" s="3" t="inlineStr"/>
      <c r="O64" s="3" t="inlineStr"/>
      <c r="P64" s="3" t="inlineStr"/>
      <c r="Q64" s="6">
        <f>IF(S64="Sí",I64-K64,"")</f>
        <v/>
      </c>
      <c r="R64" s="7">
        <f>IF(S64="Sí",Q64/I64,"")</f>
        <v/>
      </c>
      <c r="S64" s="8">
        <f>IF(AND('Preparación'!$B$2&lt;&gt;"",'Preparación'!$B$3&lt;&gt;"",COUNTIF(CodigosCasos,B64)=1,COUNTIF(CodigosTareas,C64)=1,COUNTIFS($B$2:$B$201,B64,$C$2:$C$201,C64,$D$2:$D$201,D64)=1,ISNUMBER(D64),D64&gt;0,INT(D64)=D64,D64&lt;=100,OR(E64="Manual → LegalTriage",E64="LegalTriage → Manual"),F64&lt;&gt;"",ISNUMBER(G64),G64&gt;0,H64="Correcta",J64="Correcta",L64="Sí",ISNUMBER(I64),ISNUMBER(K64),I64&gt;0,K64&gt;0,O64&lt;&gt;"",P64&lt;&gt;""),"Sí","")</f>
        <v/>
      </c>
    </row>
    <row r="65">
      <c r="A65" s="3" t="inlineStr"/>
      <c r="B65" s="3" t="inlineStr"/>
      <c r="C65" s="3" t="inlineStr"/>
      <c r="D65" s="3" t="inlineStr"/>
      <c r="E65" s="3" t="inlineStr"/>
      <c r="F65" s="3" t="inlineStr"/>
      <c r="G65" s="4" t="inlineStr"/>
      <c r="H65" s="3" t="inlineStr"/>
      <c r="I65" s="5" t="inlineStr"/>
      <c r="J65" s="3" t="inlineStr"/>
      <c r="K65" s="5" t="inlineStr"/>
      <c r="L65" s="3" t="inlineStr"/>
      <c r="M65" s="3" t="inlineStr"/>
      <c r="N65" s="3" t="inlineStr"/>
      <c r="O65" s="3" t="inlineStr"/>
      <c r="P65" s="3" t="inlineStr"/>
      <c r="Q65" s="6">
        <f>IF(S65="Sí",I65-K65,"")</f>
        <v/>
      </c>
      <c r="R65" s="7">
        <f>IF(S65="Sí",Q65/I65,"")</f>
        <v/>
      </c>
      <c r="S65" s="8">
        <f>IF(AND('Preparación'!$B$2&lt;&gt;"",'Preparación'!$B$3&lt;&gt;"",COUNTIF(CodigosCasos,B65)=1,COUNTIF(CodigosTareas,C65)=1,COUNTIFS($B$2:$B$201,B65,$C$2:$C$201,C65,$D$2:$D$201,D65)=1,ISNUMBER(D65),D65&gt;0,INT(D65)=D65,D65&lt;=100,OR(E65="Manual → LegalTriage",E65="LegalTriage → Manual"),F65&lt;&gt;"",ISNUMBER(G65),G65&gt;0,H65="Correcta",J65="Correcta",L65="Sí",ISNUMBER(I65),ISNUMBER(K65),I65&gt;0,K65&gt;0,O65&lt;&gt;"",P65&lt;&gt;""),"Sí","")</f>
        <v/>
      </c>
    </row>
    <row r="66">
      <c r="A66" s="3" t="inlineStr"/>
      <c r="B66" s="3" t="inlineStr"/>
      <c r="C66" s="3" t="inlineStr"/>
      <c r="D66" s="3" t="inlineStr"/>
      <c r="E66" s="3" t="inlineStr"/>
      <c r="F66" s="3" t="inlineStr"/>
      <c r="G66" s="4" t="inlineStr"/>
      <c r="H66" s="3" t="inlineStr"/>
      <c r="I66" s="5" t="inlineStr"/>
      <c r="J66" s="3" t="inlineStr"/>
      <c r="K66" s="5" t="inlineStr"/>
      <c r="L66" s="3" t="inlineStr"/>
      <c r="M66" s="3" t="inlineStr"/>
      <c r="N66" s="3" t="inlineStr"/>
      <c r="O66" s="3" t="inlineStr"/>
      <c r="P66" s="3" t="inlineStr"/>
      <c r="Q66" s="6">
        <f>IF(S66="Sí",I66-K66,"")</f>
        <v/>
      </c>
      <c r="R66" s="7">
        <f>IF(S66="Sí",Q66/I66,"")</f>
        <v/>
      </c>
      <c r="S66" s="8">
        <f>IF(AND('Preparación'!$B$2&lt;&gt;"",'Preparación'!$B$3&lt;&gt;"",COUNTIF(CodigosCasos,B66)=1,COUNTIF(CodigosTareas,C66)=1,COUNTIFS($B$2:$B$201,B66,$C$2:$C$201,C66,$D$2:$D$201,D66)=1,ISNUMBER(D66),D66&gt;0,INT(D66)=D66,D66&lt;=100,OR(E66="Manual → LegalTriage",E66="LegalTriage → Manual"),F66&lt;&gt;"",ISNUMBER(G66),G66&gt;0,H66="Correcta",J66="Correcta",L66="Sí",ISNUMBER(I66),ISNUMBER(K66),I66&gt;0,K66&gt;0,O66&lt;&gt;"",P66&lt;&gt;""),"Sí","")</f>
        <v/>
      </c>
    </row>
    <row r="67">
      <c r="A67" s="3" t="inlineStr"/>
      <c r="B67" s="3" t="inlineStr"/>
      <c r="C67" s="3" t="inlineStr"/>
      <c r="D67" s="3" t="inlineStr"/>
      <c r="E67" s="3" t="inlineStr"/>
      <c r="F67" s="3" t="inlineStr"/>
      <c r="G67" s="4" t="inlineStr"/>
      <c r="H67" s="3" t="inlineStr"/>
      <c r="I67" s="5" t="inlineStr"/>
      <c r="J67" s="3" t="inlineStr"/>
      <c r="K67" s="5" t="inlineStr"/>
      <c r="L67" s="3" t="inlineStr"/>
      <c r="M67" s="3" t="inlineStr"/>
      <c r="N67" s="3" t="inlineStr"/>
      <c r="O67" s="3" t="inlineStr"/>
      <c r="P67" s="3" t="inlineStr"/>
      <c r="Q67" s="6">
        <f>IF(S67="Sí",I67-K67,"")</f>
        <v/>
      </c>
      <c r="R67" s="7">
        <f>IF(S67="Sí",Q67/I67,"")</f>
        <v/>
      </c>
      <c r="S67" s="8">
        <f>IF(AND('Preparación'!$B$2&lt;&gt;"",'Preparación'!$B$3&lt;&gt;"",COUNTIF(CodigosCasos,B67)=1,COUNTIF(CodigosTareas,C67)=1,COUNTIFS($B$2:$B$201,B67,$C$2:$C$201,C67,$D$2:$D$201,D67)=1,ISNUMBER(D67),D67&gt;0,INT(D67)=D67,D67&lt;=100,OR(E67="Manual → LegalTriage",E67="LegalTriage → Manual"),F67&lt;&gt;"",ISNUMBER(G67),G67&gt;0,H67="Correcta",J67="Correcta",L67="Sí",ISNUMBER(I67),ISNUMBER(K67),I67&gt;0,K67&gt;0,O67&lt;&gt;"",P67&lt;&gt;""),"Sí","")</f>
        <v/>
      </c>
    </row>
    <row r="68">
      <c r="A68" s="3" t="inlineStr"/>
      <c r="B68" s="3" t="inlineStr"/>
      <c r="C68" s="3" t="inlineStr"/>
      <c r="D68" s="3" t="inlineStr"/>
      <c r="E68" s="3" t="inlineStr"/>
      <c r="F68" s="3" t="inlineStr"/>
      <c r="G68" s="4" t="inlineStr"/>
      <c r="H68" s="3" t="inlineStr"/>
      <c r="I68" s="5" t="inlineStr"/>
      <c r="J68" s="3" t="inlineStr"/>
      <c r="K68" s="5" t="inlineStr"/>
      <c r="L68" s="3" t="inlineStr"/>
      <c r="M68" s="3" t="inlineStr"/>
      <c r="N68" s="3" t="inlineStr"/>
      <c r="O68" s="3" t="inlineStr"/>
      <c r="P68" s="3" t="inlineStr"/>
      <c r="Q68" s="6">
        <f>IF(S68="Sí",I68-K68,"")</f>
        <v/>
      </c>
      <c r="R68" s="7">
        <f>IF(S68="Sí",Q68/I68,"")</f>
        <v/>
      </c>
      <c r="S68" s="8">
        <f>IF(AND('Preparación'!$B$2&lt;&gt;"",'Preparación'!$B$3&lt;&gt;"",COUNTIF(CodigosCasos,B68)=1,COUNTIF(CodigosTareas,C68)=1,COUNTIFS($B$2:$B$201,B68,$C$2:$C$201,C68,$D$2:$D$201,D68)=1,ISNUMBER(D68),D68&gt;0,INT(D68)=D68,D68&lt;=100,OR(E68="Manual → LegalTriage",E68="LegalTriage → Manual"),F68&lt;&gt;"",ISNUMBER(G68),G68&gt;0,H68="Correcta",J68="Correcta",L68="Sí",ISNUMBER(I68),ISNUMBER(K68),I68&gt;0,K68&gt;0,O68&lt;&gt;"",P68&lt;&gt;""),"Sí","")</f>
        <v/>
      </c>
    </row>
    <row r="69">
      <c r="A69" s="3" t="inlineStr"/>
      <c r="B69" s="3" t="inlineStr"/>
      <c r="C69" s="3" t="inlineStr"/>
      <c r="D69" s="3" t="inlineStr"/>
      <c r="E69" s="3" t="inlineStr"/>
      <c r="F69" s="3" t="inlineStr"/>
      <c r="G69" s="4" t="inlineStr"/>
      <c r="H69" s="3" t="inlineStr"/>
      <c r="I69" s="5" t="inlineStr"/>
      <c r="J69" s="3" t="inlineStr"/>
      <c r="K69" s="5" t="inlineStr"/>
      <c r="L69" s="3" t="inlineStr"/>
      <c r="M69" s="3" t="inlineStr"/>
      <c r="N69" s="3" t="inlineStr"/>
      <c r="O69" s="3" t="inlineStr"/>
      <c r="P69" s="3" t="inlineStr"/>
      <c r="Q69" s="6">
        <f>IF(S69="Sí",I69-K69,"")</f>
        <v/>
      </c>
      <c r="R69" s="7">
        <f>IF(S69="Sí",Q69/I69,"")</f>
        <v/>
      </c>
      <c r="S69" s="8">
        <f>IF(AND('Preparación'!$B$2&lt;&gt;"",'Preparación'!$B$3&lt;&gt;"",COUNTIF(CodigosCasos,B69)=1,COUNTIF(CodigosTareas,C69)=1,COUNTIFS($B$2:$B$201,B69,$C$2:$C$201,C69,$D$2:$D$201,D69)=1,ISNUMBER(D69),D69&gt;0,INT(D69)=D69,D69&lt;=100,OR(E69="Manual → LegalTriage",E69="LegalTriage → Manual"),F69&lt;&gt;"",ISNUMBER(G69),G69&gt;0,H69="Correcta",J69="Correcta",L69="Sí",ISNUMBER(I69),ISNUMBER(K69),I69&gt;0,K69&gt;0,O69&lt;&gt;"",P69&lt;&gt;""),"Sí","")</f>
        <v/>
      </c>
    </row>
    <row r="70">
      <c r="A70" s="3" t="inlineStr"/>
      <c r="B70" s="3" t="inlineStr"/>
      <c r="C70" s="3" t="inlineStr"/>
      <c r="D70" s="3" t="inlineStr"/>
      <c r="E70" s="3" t="inlineStr"/>
      <c r="F70" s="3" t="inlineStr"/>
      <c r="G70" s="4" t="inlineStr"/>
      <c r="H70" s="3" t="inlineStr"/>
      <c r="I70" s="5" t="inlineStr"/>
      <c r="J70" s="3" t="inlineStr"/>
      <c r="K70" s="5" t="inlineStr"/>
      <c r="L70" s="3" t="inlineStr"/>
      <c r="M70" s="3" t="inlineStr"/>
      <c r="N70" s="3" t="inlineStr"/>
      <c r="O70" s="3" t="inlineStr"/>
      <c r="P70" s="3" t="inlineStr"/>
      <c r="Q70" s="6">
        <f>IF(S70="Sí",I70-K70,"")</f>
        <v/>
      </c>
      <c r="R70" s="7">
        <f>IF(S70="Sí",Q70/I70,"")</f>
        <v/>
      </c>
      <c r="S70" s="8">
        <f>IF(AND('Preparación'!$B$2&lt;&gt;"",'Preparación'!$B$3&lt;&gt;"",COUNTIF(CodigosCasos,B70)=1,COUNTIF(CodigosTareas,C70)=1,COUNTIFS($B$2:$B$201,B70,$C$2:$C$201,C70,$D$2:$D$201,D70)=1,ISNUMBER(D70),D70&gt;0,INT(D70)=D70,D70&lt;=100,OR(E70="Manual → LegalTriage",E70="LegalTriage → Manual"),F70&lt;&gt;"",ISNUMBER(G70),G70&gt;0,H70="Correcta",J70="Correcta",L70="Sí",ISNUMBER(I70),ISNUMBER(K70),I70&gt;0,K70&gt;0,O70&lt;&gt;"",P70&lt;&gt;""),"Sí","")</f>
        <v/>
      </c>
    </row>
    <row r="71">
      <c r="A71" s="3" t="inlineStr"/>
      <c r="B71" s="3" t="inlineStr"/>
      <c r="C71" s="3" t="inlineStr"/>
      <c r="D71" s="3" t="inlineStr"/>
      <c r="E71" s="3" t="inlineStr"/>
      <c r="F71" s="3" t="inlineStr"/>
      <c r="G71" s="4" t="inlineStr"/>
      <c r="H71" s="3" t="inlineStr"/>
      <c r="I71" s="5" t="inlineStr"/>
      <c r="J71" s="3" t="inlineStr"/>
      <c r="K71" s="5" t="inlineStr"/>
      <c r="L71" s="3" t="inlineStr"/>
      <c r="M71" s="3" t="inlineStr"/>
      <c r="N71" s="3" t="inlineStr"/>
      <c r="O71" s="3" t="inlineStr"/>
      <c r="P71" s="3" t="inlineStr"/>
      <c r="Q71" s="6">
        <f>IF(S71="Sí",I71-K71,"")</f>
        <v/>
      </c>
      <c r="R71" s="7">
        <f>IF(S71="Sí",Q71/I71,"")</f>
        <v/>
      </c>
      <c r="S71" s="8">
        <f>IF(AND('Preparación'!$B$2&lt;&gt;"",'Preparación'!$B$3&lt;&gt;"",COUNTIF(CodigosCasos,B71)=1,COUNTIF(CodigosTareas,C71)=1,COUNTIFS($B$2:$B$201,B71,$C$2:$C$201,C71,$D$2:$D$201,D71)=1,ISNUMBER(D71),D71&gt;0,INT(D71)=D71,D71&lt;=100,OR(E71="Manual → LegalTriage",E71="LegalTriage → Manual"),F71&lt;&gt;"",ISNUMBER(G71),G71&gt;0,H71="Correcta",J71="Correcta",L71="Sí",ISNUMBER(I71),ISNUMBER(K71),I71&gt;0,K71&gt;0,O71&lt;&gt;"",P71&lt;&gt;""),"Sí","")</f>
        <v/>
      </c>
    </row>
    <row r="72">
      <c r="A72" s="3" t="inlineStr"/>
      <c r="B72" s="3" t="inlineStr"/>
      <c r="C72" s="3" t="inlineStr"/>
      <c r="D72" s="3" t="inlineStr"/>
      <c r="E72" s="3" t="inlineStr"/>
      <c r="F72" s="3" t="inlineStr"/>
      <c r="G72" s="4" t="inlineStr"/>
      <c r="H72" s="3" t="inlineStr"/>
      <c r="I72" s="5" t="inlineStr"/>
      <c r="J72" s="3" t="inlineStr"/>
      <c r="K72" s="5" t="inlineStr"/>
      <c r="L72" s="3" t="inlineStr"/>
      <c r="M72" s="3" t="inlineStr"/>
      <c r="N72" s="3" t="inlineStr"/>
      <c r="O72" s="3" t="inlineStr"/>
      <c r="P72" s="3" t="inlineStr"/>
      <c r="Q72" s="6">
        <f>IF(S72="Sí",I72-K72,"")</f>
        <v/>
      </c>
      <c r="R72" s="7">
        <f>IF(S72="Sí",Q72/I72,"")</f>
        <v/>
      </c>
      <c r="S72" s="8">
        <f>IF(AND('Preparación'!$B$2&lt;&gt;"",'Preparación'!$B$3&lt;&gt;"",COUNTIF(CodigosCasos,B72)=1,COUNTIF(CodigosTareas,C72)=1,COUNTIFS($B$2:$B$201,B72,$C$2:$C$201,C72,$D$2:$D$201,D72)=1,ISNUMBER(D72),D72&gt;0,INT(D72)=D72,D72&lt;=100,OR(E72="Manual → LegalTriage",E72="LegalTriage → Manual"),F72&lt;&gt;"",ISNUMBER(G72),G72&gt;0,H72="Correcta",J72="Correcta",L72="Sí",ISNUMBER(I72),ISNUMBER(K72),I72&gt;0,K72&gt;0,O72&lt;&gt;"",P72&lt;&gt;""),"Sí","")</f>
        <v/>
      </c>
    </row>
    <row r="73">
      <c r="A73" s="3" t="inlineStr"/>
      <c r="B73" s="3" t="inlineStr"/>
      <c r="C73" s="3" t="inlineStr"/>
      <c r="D73" s="3" t="inlineStr"/>
      <c r="E73" s="3" t="inlineStr"/>
      <c r="F73" s="3" t="inlineStr"/>
      <c r="G73" s="4" t="inlineStr"/>
      <c r="H73" s="3" t="inlineStr"/>
      <c r="I73" s="5" t="inlineStr"/>
      <c r="J73" s="3" t="inlineStr"/>
      <c r="K73" s="5" t="inlineStr"/>
      <c r="L73" s="3" t="inlineStr"/>
      <c r="M73" s="3" t="inlineStr"/>
      <c r="N73" s="3" t="inlineStr"/>
      <c r="O73" s="3" t="inlineStr"/>
      <c r="P73" s="3" t="inlineStr"/>
      <c r="Q73" s="6">
        <f>IF(S73="Sí",I73-K73,"")</f>
        <v/>
      </c>
      <c r="R73" s="7">
        <f>IF(S73="Sí",Q73/I73,"")</f>
        <v/>
      </c>
      <c r="S73" s="8">
        <f>IF(AND('Preparación'!$B$2&lt;&gt;"",'Preparación'!$B$3&lt;&gt;"",COUNTIF(CodigosCasos,B73)=1,COUNTIF(CodigosTareas,C73)=1,COUNTIFS($B$2:$B$201,B73,$C$2:$C$201,C73,$D$2:$D$201,D73)=1,ISNUMBER(D73),D73&gt;0,INT(D73)=D73,D73&lt;=100,OR(E73="Manual → LegalTriage",E73="LegalTriage → Manual"),F73&lt;&gt;"",ISNUMBER(G73),G73&gt;0,H73="Correcta",J73="Correcta",L73="Sí",ISNUMBER(I73),ISNUMBER(K73),I73&gt;0,K73&gt;0,O73&lt;&gt;"",P73&lt;&gt;""),"Sí","")</f>
        <v/>
      </c>
    </row>
    <row r="74">
      <c r="A74" s="3" t="inlineStr"/>
      <c r="B74" s="3" t="inlineStr"/>
      <c r="C74" s="3" t="inlineStr"/>
      <c r="D74" s="3" t="inlineStr"/>
      <c r="E74" s="3" t="inlineStr"/>
      <c r="F74" s="3" t="inlineStr"/>
      <c r="G74" s="4" t="inlineStr"/>
      <c r="H74" s="3" t="inlineStr"/>
      <c r="I74" s="5" t="inlineStr"/>
      <c r="J74" s="3" t="inlineStr"/>
      <c r="K74" s="5" t="inlineStr"/>
      <c r="L74" s="3" t="inlineStr"/>
      <c r="M74" s="3" t="inlineStr"/>
      <c r="N74" s="3" t="inlineStr"/>
      <c r="O74" s="3" t="inlineStr"/>
      <c r="P74" s="3" t="inlineStr"/>
      <c r="Q74" s="6">
        <f>IF(S74="Sí",I74-K74,"")</f>
        <v/>
      </c>
      <c r="R74" s="7">
        <f>IF(S74="Sí",Q74/I74,"")</f>
        <v/>
      </c>
      <c r="S74" s="8">
        <f>IF(AND('Preparación'!$B$2&lt;&gt;"",'Preparación'!$B$3&lt;&gt;"",COUNTIF(CodigosCasos,B74)=1,COUNTIF(CodigosTareas,C74)=1,COUNTIFS($B$2:$B$201,B74,$C$2:$C$201,C74,$D$2:$D$201,D74)=1,ISNUMBER(D74),D74&gt;0,INT(D74)=D74,D74&lt;=100,OR(E74="Manual → LegalTriage",E74="LegalTriage → Manual"),F74&lt;&gt;"",ISNUMBER(G74),G74&gt;0,H74="Correcta",J74="Correcta",L74="Sí",ISNUMBER(I74),ISNUMBER(K74),I74&gt;0,K74&gt;0,O74&lt;&gt;"",P74&lt;&gt;""),"Sí","")</f>
        <v/>
      </c>
    </row>
    <row r="75">
      <c r="A75" s="3" t="inlineStr"/>
      <c r="B75" s="3" t="inlineStr"/>
      <c r="C75" s="3" t="inlineStr"/>
      <c r="D75" s="3" t="inlineStr"/>
      <c r="E75" s="3" t="inlineStr"/>
      <c r="F75" s="3" t="inlineStr"/>
      <c r="G75" s="4" t="inlineStr"/>
      <c r="H75" s="3" t="inlineStr"/>
      <c r="I75" s="5" t="inlineStr"/>
      <c r="J75" s="3" t="inlineStr"/>
      <c r="K75" s="5" t="inlineStr"/>
      <c r="L75" s="3" t="inlineStr"/>
      <c r="M75" s="3" t="inlineStr"/>
      <c r="N75" s="3" t="inlineStr"/>
      <c r="O75" s="3" t="inlineStr"/>
      <c r="P75" s="3" t="inlineStr"/>
      <c r="Q75" s="6">
        <f>IF(S75="Sí",I75-K75,"")</f>
        <v/>
      </c>
      <c r="R75" s="7">
        <f>IF(S75="Sí",Q75/I75,"")</f>
        <v/>
      </c>
      <c r="S75" s="8">
        <f>IF(AND('Preparación'!$B$2&lt;&gt;"",'Preparación'!$B$3&lt;&gt;"",COUNTIF(CodigosCasos,B75)=1,COUNTIF(CodigosTareas,C75)=1,COUNTIFS($B$2:$B$201,B75,$C$2:$C$201,C75,$D$2:$D$201,D75)=1,ISNUMBER(D75),D75&gt;0,INT(D75)=D75,D75&lt;=100,OR(E75="Manual → LegalTriage",E75="LegalTriage → Manual"),F75&lt;&gt;"",ISNUMBER(G75),G75&gt;0,H75="Correcta",J75="Correcta",L75="Sí",ISNUMBER(I75),ISNUMBER(K75),I75&gt;0,K75&gt;0,O75&lt;&gt;"",P75&lt;&gt;""),"Sí","")</f>
        <v/>
      </c>
    </row>
    <row r="76">
      <c r="A76" s="3" t="inlineStr"/>
      <c r="B76" s="3" t="inlineStr"/>
      <c r="C76" s="3" t="inlineStr"/>
      <c r="D76" s="3" t="inlineStr"/>
      <c r="E76" s="3" t="inlineStr"/>
      <c r="F76" s="3" t="inlineStr"/>
      <c r="G76" s="4" t="inlineStr"/>
      <c r="H76" s="3" t="inlineStr"/>
      <c r="I76" s="5" t="inlineStr"/>
      <c r="J76" s="3" t="inlineStr"/>
      <c r="K76" s="5" t="inlineStr"/>
      <c r="L76" s="3" t="inlineStr"/>
      <c r="M76" s="3" t="inlineStr"/>
      <c r="N76" s="3" t="inlineStr"/>
      <c r="O76" s="3" t="inlineStr"/>
      <c r="P76" s="3" t="inlineStr"/>
      <c r="Q76" s="6">
        <f>IF(S76="Sí",I76-K76,"")</f>
        <v/>
      </c>
      <c r="R76" s="7">
        <f>IF(S76="Sí",Q76/I76,"")</f>
        <v/>
      </c>
      <c r="S76" s="8">
        <f>IF(AND('Preparación'!$B$2&lt;&gt;"",'Preparación'!$B$3&lt;&gt;"",COUNTIF(CodigosCasos,B76)=1,COUNTIF(CodigosTareas,C76)=1,COUNTIFS($B$2:$B$201,B76,$C$2:$C$201,C76,$D$2:$D$201,D76)=1,ISNUMBER(D76),D76&gt;0,INT(D76)=D76,D76&lt;=100,OR(E76="Manual → LegalTriage",E76="LegalTriage → Manual"),F76&lt;&gt;"",ISNUMBER(G76),G76&gt;0,H76="Correcta",J76="Correcta",L76="Sí",ISNUMBER(I76),ISNUMBER(K76),I76&gt;0,K76&gt;0,O76&lt;&gt;"",P76&lt;&gt;""),"Sí","")</f>
        <v/>
      </c>
    </row>
    <row r="77">
      <c r="A77" s="3" t="inlineStr"/>
      <c r="B77" s="3" t="inlineStr"/>
      <c r="C77" s="3" t="inlineStr"/>
      <c r="D77" s="3" t="inlineStr"/>
      <c r="E77" s="3" t="inlineStr"/>
      <c r="F77" s="3" t="inlineStr"/>
      <c r="G77" s="4" t="inlineStr"/>
      <c r="H77" s="3" t="inlineStr"/>
      <c r="I77" s="5" t="inlineStr"/>
      <c r="J77" s="3" t="inlineStr"/>
      <c r="K77" s="5" t="inlineStr"/>
      <c r="L77" s="3" t="inlineStr"/>
      <c r="M77" s="3" t="inlineStr"/>
      <c r="N77" s="3" t="inlineStr"/>
      <c r="O77" s="3" t="inlineStr"/>
      <c r="P77" s="3" t="inlineStr"/>
      <c r="Q77" s="6">
        <f>IF(S77="Sí",I77-K77,"")</f>
        <v/>
      </c>
      <c r="R77" s="7">
        <f>IF(S77="Sí",Q77/I77,"")</f>
        <v/>
      </c>
      <c r="S77" s="8">
        <f>IF(AND('Preparación'!$B$2&lt;&gt;"",'Preparación'!$B$3&lt;&gt;"",COUNTIF(CodigosCasos,B77)=1,COUNTIF(CodigosTareas,C77)=1,COUNTIFS($B$2:$B$201,B77,$C$2:$C$201,C77,$D$2:$D$201,D77)=1,ISNUMBER(D77),D77&gt;0,INT(D77)=D77,D77&lt;=100,OR(E77="Manual → LegalTriage",E77="LegalTriage → Manual"),F77&lt;&gt;"",ISNUMBER(G77),G77&gt;0,H77="Correcta",J77="Correcta",L77="Sí",ISNUMBER(I77),ISNUMBER(K77),I77&gt;0,K77&gt;0,O77&lt;&gt;"",P77&lt;&gt;""),"Sí","")</f>
        <v/>
      </c>
    </row>
    <row r="78">
      <c r="A78" s="3" t="inlineStr"/>
      <c r="B78" s="3" t="inlineStr"/>
      <c r="C78" s="3" t="inlineStr"/>
      <c r="D78" s="3" t="inlineStr"/>
      <c r="E78" s="3" t="inlineStr"/>
      <c r="F78" s="3" t="inlineStr"/>
      <c r="G78" s="4" t="inlineStr"/>
      <c r="H78" s="3" t="inlineStr"/>
      <c r="I78" s="5" t="inlineStr"/>
      <c r="J78" s="3" t="inlineStr"/>
      <c r="K78" s="5" t="inlineStr"/>
      <c r="L78" s="3" t="inlineStr"/>
      <c r="M78" s="3" t="inlineStr"/>
      <c r="N78" s="3" t="inlineStr"/>
      <c r="O78" s="3" t="inlineStr"/>
      <c r="P78" s="3" t="inlineStr"/>
      <c r="Q78" s="6">
        <f>IF(S78="Sí",I78-K78,"")</f>
        <v/>
      </c>
      <c r="R78" s="7">
        <f>IF(S78="Sí",Q78/I78,"")</f>
        <v/>
      </c>
      <c r="S78" s="8">
        <f>IF(AND('Preparación'!$B$2&lt;&gt;"",'Preparación'!$B$3&lt;&gt;"",COUNTIF(CodigosCasos,B78)=1,COUNTIF(CodigosTareas,C78)=1,COUNTIFS($B$2:$B$201,B78,$C$2:$C$201,C78,$D$2:$D$201,D78)=1,ISNUMBER(D78),D78&gt;0,INT(D78)=D78,D78&lt;=100,OR(E78="Manual → LegalTriage",E78="LegalTriage → Manual"),F78&lt;&gt;"",ISNUMBER(G78),G78&gt;0,H78="Correcta",J78="Correcta",L78="Sí",ISNUMBER(I78),ISNUMBER(K78),I78&gt;0,K78&gt;0,O78&lt;&gt;"",P78&lt;&gt;""),"Sí","")</f>
        <v/>
      </c>
    </row>
    <row r="79">
      <c r="A79" s="3" t="inlineStr"/>
      <c r="B79" s="3" t="inlineStr"/>
      <c r="C79" s="3" t="inlineStr"/>
      <c r="D79" s="3" t="inlineStr"/>
      <c r="E79" s="3" t="inlineStr"/>
      <c r="F79" s="3" t="inlineStr"/>
      <c r="G79" s="4" t="inlineStr"/>
      <c r="H79" s="3" t="inlineStr"/>
      <c r="I79" s="5" t="inlineStr"/>
      <c r="J79" s="3" t="inlineStr"/>
      <c r="K79" s="5" t="inlineStr"/>
      <c r="L79" s="3" t="inlineStr"/>
      <c r="M79" s="3" t="inlineStr"/>
      <c r="N79" s="3" t="inlineStr"/>
      <c r="O79" s="3" t="inlineStr"/>
      <c r="P79" s="3" t="inlineStr"/>
      <c r="Q79" s="6">
        <f>IF(S79="Sí",I79-K79,"")</f>
        <v/>
      </c>
      <c r="R79" s="7">
        <f>IF(S79="Sí",Q79/I79,"")</f>
        <v/>
      </c>
      <c r="S79" s="8">
        <f>IF(AND('Preparación'!$B$2&lt;&gt;"",'Preparación'!$B$3&lt;&gt;"",COUNTIF(CodigosCasos,B79)=1,COUNTIF(CodigosTareas,C79)=1,COUNTIFS($B$2:$B$201,B79,$C$2:$C$201,C79,$D$2:$D$201,D79)=1,ISNUMBER(D79),D79&gt;0,INT(D79)=D79,D79&lt;=100,OR(E79="Manual → LegalTriage",E79="LegalTriage → Manual"),F79&lt;&gt;"",ISNUMBER(G79),G79&gt;0,H79="Correcta",J79="Correcta",L79="Sí",ISNUMBER(I79),ISNUMBER(K79),I79&gt;0,K79&gt;0,O79&lt;&gt;"",P79&lt;&gt;""),"Sí","")</f>
        <v/>
      </c>
    </row>
    <row r="80">
      <c r="A80" s="3" t="inlineStr"/>
      <c r="B80" s="3" t="inlineStr"/>
      <c r="C80" s="3" t="inlineStr"/>
      <c r="D80" s="3" t="inlineStr"/>
      <c r="E80" s="3" t="inlineStr"/>
      <c r="F80" s="3" t="inlineStr"/>
      <c r="G80" s="4" t="inlineStr"/>
      <c r="H80" s="3" t="inlineStr"/>
      <c r="I80" s="5" t="inlineStr"/>
      <c r="J80" s="3" t="inlineStr"/>
      <c r="K80" s="5" t="inlineStr"/>
      <c r="L80" s="3" t="inlineStr"/>
      <c r="M80" s="3" t="inlineStr"/>
      <c r="N80" s="3" t="inlineStr"/>
      <c r="O80" s="3" t="inlineStr"/>
      <c r="P80" s="3" t="inlineStr"/>
      <c r="Q80" s="6">
        <f>IF(S80="Sí",I80-K80,"")</f>
        <v/>
      </c>
      <c r="R80" s="7">
        <f>IF(S80="Sí",Q80/I80,"")</f>
        <v/>
      </c>
      <c r="S80" s="8">
        <f>IF(AND('Preparación'!$B$2&lt;&gt;"",'Preparación'!$B$3&lt;&gt;"",COUNTIF(CodigosCasos,B80)=1,COUNTIF(CodigosTareas,C80)=1,COUNTIFS($B$2:$B$201,B80,$C$2:$C$201,C80,$D$2:$D$201,D80)=1,ISNUMBER(D80),D80&gt;0,INT(D80)=D80,D80&lt;=100,OR(E80="Manual → LegalTriage",E80="LegalTriage → Manual"),F80&lt;&gt;"",ISNUMBER(G80),G80&gt;0,H80="Correcta",J80="Correcta",L80="Sí",ISNUMBER(I80),ISNUMBER(K80),I80&gt;0,K80&gt;0,O80&lt;&gt;"",P80&lt;&gt;""),"Sí","")</f>
        <v/>
      </c>
    </row>
    <row r="81">
      <c r="A81" s="3" t="inlineStr"/>
      <c r="B81" s="3" t="inlineStr"/>
      <c r="C81" s="3" t="inlineStr"/>
      <c r="D81" s="3" t="inlineStr"/>
      <c r="E81" s="3" t="inlineStr"/>
      <c r="F81" s="3" t="inlineStr"/>
      <c r="G81" s="4" t="inlineStr"/>
      <c r="H81" s="3" t="inlineStr"/>
      <c r="I81" s="5" t="inlineStr"/>
      <c r="J81" s="3" t="inlineStr"/>
      <c r="K81" s="5" t="inlineStr"/>
      <c r="L81" s="3" t="inlineStr"/>
      <c r="M81" s="3" t="inlineStr"/>
      <c r="N81" s="3" t="inlineStr"/>
      <c r="O81" s="3" t="inlineStr"/>
      <c r="P81" s="3" t="inlineStr"/>
      <c r="Q81" s="6">
        <f>IF(S81="Sí",I81-K81,"")</f>
        <v/>
      </c>
      <c r="R81" s="7">
        <f>IF(S81="Sí",Q81/I81,"")</f>
        <v/>
      </c>
      <c r="S81" s="8">
        <f>IF(AND('Preparación'!$B$2&lt;&gt;"",'Preparación'!$B$3&lt;&gt;"",COUNTIF(CodigosCasos,B81)=1,COUNTIF(CodigosTareas,C81)=1,COUNTIFS($B$2:$B$201,B81,$C$2:$C$201,C81,$D$2:$D$201,D81)=1,ISNUMBER(D81),D81&gt;0,INT(D81)=D81,D81&lt;=100,OR(E81="Manual → LegalTriage",E81="LegalTriage → Manual"),F81&lt;&gt;"",ISNUMBER(G81),G81&gt;0,H81="Correcta",J81="Correcta",L81="Sí",ISNUMBER(I81),ISNUMBER(K81),I81&gt;0,K81&gt;0,O81&lt;&gt;"",P81&lt;&gt;""),"Sí","")</f>
        <v/>
      </c>
    </row>
    <row r="82">
      <c r="A82" s="3" t="inlineStr"/>
      <c r="B82" s="3" t="inlineStr"/>
      <c r="C82" s="3" t="inlineStr"/>
      <c r="D82" s="3" t="inlineStr"/>
      <c r="E82" s="3" t="inlineStr"/>
      <c r="F82" s="3" t="inlineStr"/>
      <c r="G82" s="4" t="inlineStr"/>
      <c r="H82" s="3" t="inlineStr"/>
      <c r="I82" s="5" t="inlineStr"/>
      <c r="J82" s="3" t="inlineStr"/>
      <c r="K82" s="5" t="inlineStr"/>
      <c r="L82" s="3" t="inlineStr"/>
      <c r="M82" s="3" t="inlineStr"/>
      <c r="N82" s="3" t="inlineStr"/>
      <c r="O82" s="3" t="inlineStr"/>
      <c r="P82" s="3" t="inlineStr"/>
      <c r="Q82" s="6">
        <f>IF(S82="Sí",I82-K82,"")</f>
        <v/>
      </c>
      <c r="R82" s="7">
        <f>IF(S82="Sí",Q82/I82,"")</f>
        <v/>
      </c>
      <c r="S82" s="8">
        <f>IF(AND('Preparación'!$B$2&lt;&gt;"",'Preparación'!$B$3&lt;&gt;"",COUNTIF(CodigosCasos,B82)=1,COUNTIF(CodigosTareas,C82)=1,COUNTIFS($B$2:$B$201,B82,$C$2:$C$201,C82,$D$2:$D$201,D82)=1,ISNUMBER(D82),D82&gt;0,INT(D82)=D82,D82&lt;=100,OR(E82="Manual → LegalTriage",E82="LegalTriage → Manual"),F82&lt;&gt;"",ISNUMBER(G82),G82&gt;0,H82="Correcta",J82="Correcta",L82="Sí",ISNUMBER(I82),ISNUMBER(K82),I82&gt;0,K82&gt;0,O82&lt;&gt;"",P82&lt;&gt;""),"Sí","")</f>
        <v/>
      </c>
    </row>
    <row r="83">
      <c r="A83" s="3" t="inlineStr"/>
      <c r="B83" s="3" t="inlineStr"/>
      <c r="C83" s="3" t="inlineStr"/>
      <c r="D83" s="3" t="inlineStr"/>
      <c r="E83" s="3" t="inlineStr"/>
      <c r="F83" s="3" t="inlineStr"/>
      <c r="G83" s="4" t="inlineStr"/>
      <c r="H83" s="3" t="inlineStr"/>
      <c r="I83" s="5" t="inlineStr"/>
      <c r="J83" s="3" t="inlineStr"/>
      <c r="K83" s="5" t="inlineStr"/>
      <c r="L83" s="3" t="inlineStr"/>
      <c r="M83" s="3" t="inlineStr"/>
      <c r="N83" s="3" t="inlineStr"/>
      <c r="O83" s="3" t="inlineStr"/>
      <c r="P83" s="3" t="inlineStr"/>
      <c r="Q83" s="6">
        <f>IF(S83="Sí",I83-K83,"")</f>
        <v/>
      </c>
      <c r="R83" s="7">
        <f>IF(S83="Sí",Q83/I83,"")</f>
        <v/>
      </c>
      <c r="S83" s="8">
        <f>IF(AND('Preparación'!$B$2&lt;&gt;"",'Preparación'!$B$3&lt;&gt;"",COUNTIF(CodigosCasos,B83)=1,COUNTIF(CodigosTareas,C83)=1,COUNTIFS($B$2:$B$201,B83,$C$2:$C$201,C83,$D$2:$D$201,D83)=1,ISNUMBER(D83),D83&gt;0,INT(D83)=D83,D83&lt;=100,OR(E83="Manual → LegalTriage",E83="LegalTriage → Manual"),F83&lt;&gt;"",ISNUMBER(G83),G83&gt;0,H83="Correcta",J83="Correcta",L83="Sí",ISNUMBER(I83),ISNUMBER(K83),I83&gt;0,K83&gt;0,O83&lt;&gt;"",P83&lt;&gt;""),"Sí","")</f>
        <v/>
      </c>
    </row>
    <row r="84">
      <c r="A84" s="3" t="inlineStr"/>
      <c r="B84" s="3" t="inlineStr"/>
      <c r="C84" s="3" t="inlineStr"/>
      <c r="D84" s="3" t="inlineStr"/>
      <c r="E84" s="3" t="inlineStr"/>
      <c r="F84" s="3" t="inlineStr"/>
      <c r="G84" s="4" t="inlineStr"/>
      <c r="H84" s="3" t="inlineStr"/>
      <c r="I84" s="5" t="inlineStr"/>
      <c r="J84" s="3" t="inlineStr"/>
      <c r="K84" s="5" t="inlineStr"/>
      <c r="L84" s="3" t="inlineStr"/>
      <c r="M84" s="3" t="inlineStr"/>
      <c r="N84" s="3" t="inlineStr"/>
      <c r="O84" s="3" t="inlineStr"/>
      <c r="P84" s="3" t="inlineStr"/>
      <c r="Q84" s="6">
        <f>IF(S84="Sí",I84-K84,"")</f>
        <v/>
      </c>
      <c r="R84" s="7">
        <f>IF(S84="Sí",Q84/I84,"")</f>
        <v/>
      </c>
      <c r="S84" s="8">
        <f>IF(AND('Preparación'!$B$2&lt;&gt;"",'Preparación'!$B$3&lt;&gt;"",COUNTIF(CodigosCasos,B84)=1,COUNTIF(CodigosTareas,C84)=1,COUNTIFS($B$2:$B$201,B84,$C$2:$C$201,C84,$D$2:$D$201,D84)=1,ISNUMBER(D84),D84&gt;0,INT(D84)=D84,D84&lt;=100,OR(E84="Manual → LegalTriage",E84="LegalTriage → Manual"),F84&lt;&gt;"",ISNUMBER(G84),G84&gt;0,H84="Correcta",J84="Correcta",L84="Sí",ISNUMBER(I84),ISNUMBER(K84),I84&gt;0,K84&gt;0,O84&lt;&gt;"",P84&lt;&gt;""),"Sí","")</f>
        <v/>
      </c>
    </row>
    <row r="85">
      <c r="A85" s="3" t="inlineStr"/>
      <c r="B85" s="3" t="inlineStr"/>
      <c r="C85" s="3" t="inlineStr"/>
      <c r="D85" s="3" t="inlineStr"/>
      <c r="E85" s="3" t="inlineStr"/>
      <c r="F85" s="3" t="inlineStr"/>
      <c r="G85" s="4" t="inlineStr"/>
      <c r="H85" s="3" t="inlineStr"/>
      <c r="I85" s="5" t="inlineStr"/>
      <c r="J85" s="3" t="inlineStr"/>
      <c r="K85" s="5" t="inlineStr"/>
      <c r="L85" s="3" t="inlineStr"/>
      <c r="M85" s="3" t="inlineStr"/>
      <c r="N85" s="3" t="inlineStr"/>
      <c r="O85" s="3" t="inlineStr"/>
      <c r="P85" s="3" t="inlineStr"/>
      <c r="Q85" s="6">
        <f>IF(S85="Sí",I85-K85,"")</f>
        <v/>
      </c>
      <c r="R85" s="7">
        <f>IF(S85="Sí",Q85/I85,"")</f>
        <v/>
      </c>
      <c r="S85" s="8">
        <f>IF(AND('Preparación'!$B$2&lt;&gt;"",'Preparación'!$B$3&lt;&gt;"",COUNTIF(CodigosCasos,B85)=1,COUNTIF(CodigosTareas,C85)=1,COUNTIFS($B$2:$B$201,B85,$C$2:$C$201,C85,$D$2:$D$201,D85)=1,ISNUMBER(D85),D85&gt;0,INT(D85)=D85,D85&lt;=100,OR(E85="Manual → LegalTriage",E85="LegalTriage → Manual"),F85&lt;&gt;"",ISNUMBER(G85),G85&gt;0,H85="Correcta",J85="Correcta",L85="Sí",ISNUMBER(I85),ISNUMBER(K85),I85&gt;0,K85&gt;0,O85&lt;&gt;"",P85&lt;&gt;""),"Sí","")</f>
        <v/>
      </c>
    </row>
    <row r="86">
      <c r="A86" s="3" t="inlineStr"/>
      <c r="B86" s="3" t="inlineStr"/>
      <c r="C86" s="3" t="inlineStr"/>
      <c r="D86" s="3" t="inlineStr"/>
      <c r="E86" s="3" t="inlineStr"/>
      <c r="F86" s="3" t="inlineStr"/>
      <c r="G86" s="4" t="inlineStr"/>
      <c r="H86" s="3" t="inlineStr"/>
      <c r="I86" s="5" t="inlineStr"/>
      <c r="J86" s="3" t="inlineStr"/>
      <c r="K86" s="5" t="inlineStr"/>
      <c r="L86" s="3" t="inlineStr"/>
      <c r="M86" s="3" t="inlineStr"/>
      <c r="N86" s="3" t="inlineStr"/>
      <c r="O86" s="3" t="inlineStr"/>
      <c r="P86" s="3" t="inlineStr"/>
      <c r="Q86" s="6">
        <f>IF(S86="Sí",I86-K86,"")</f>
        <v/>
      </c>
      <c r="R86" s="7">
        <f>IF(S86="Sí",Q86/I86,"")</f>
        <v/>
      </c>
      <c r="S86" s="8">
        <f>IF(AND('Preparación'!$B$2&lt;&gt;"",'Preparación'!$B$3&lt;&gt;"",COUNTIF(CodigosCasos,B86)=1,COUNTIF(CodigosTareas,C86)=1,COUNTIFS($B$2:$B$201,B86,$C$2:$C$201,C86,$D$2:$D$201,D86)=1,ISNUMBER(D86),D86&gt;0,INT(D86)=D86,D86&lt;=100,OR(E86="Manual → LegalTriage",E86="LegalTriage → Manual"),F86&lt;&gt;"",ISNUMBER(G86),G86&gt;0,H86="Correcta",J86="Correcta",L86="Sí",ISNUMBER(I86),ISNUMBER(K86),I86&gt;0,K86&gt;0,O86&lt;&gt;"",P86&lt;&gt;""),"Sí","")</f>
        <v/>
      </c>
    </row>
    <row r="87">
      <c r="A87" s="3" t="inlineStr"/>
      <c r="B87" s="3" t="inlineStr"/>
      <c r="C87" s="3" t="inlineStr"/>
      <c r="D87" s="3" t="inlineStr"/>
      <c r="E87" s="3" t="inlineStr"/>
      <c r="F87" s="3" t="inlineStr"/>
      <c r="G87" s="4" t="inlineStr"/>
      <c r="H87" s="3" t="inlineStr"/>
      <c r="I87" s="5" t="inlineStr"/>
      <c r="J87" s="3" t="inlineStr"/>
      <c r="K87" s="5" t="inlineStr"/>
      <c r="L87" s="3" t="inlineStr"/>
      <c r="M87" s="3" t="inlineStr"/>
      <c r="N87" s="3" t="inlineStr"/>
      <c r="O87" s="3" t="inlineStr"/>
      <c r="P87" s="3" t="inlineStr"/>
      <c r="Q87" s="6">
        <f>IF(S87="Sí",I87-K87,"")</f>
        <v/>
      </c>
      <c r="R87" s="7">
        <f>IF(S87="Sí",Q87/I87,"")</f>
        <v/>
      </c>
      <c r="S87" s="8">
        <f>IF(AND('Preparación'!$B$2&lt;&gt;"",'Preparación'!$B$3&lt;&gt;"",COUNTIF(CodigosCasos,B87)=1,COUNTIF(CodigosTareas,C87)=1,COUNTIFS($B$2:$B$201,B87,$C$2:$C$201,C87,$D$2:$D$201,D87)=1,ISNUMBER(D87),D87&gt;0,INT(D87)=D87,D87&lt;=100,OR(E87="Manual → LegalTriage",E87="LegalTriage → Manual"),F87&lt;&gt;"",ISNUMBER(G87),G87&gt;0,H87="Correcta",J87="Correcta",L87="Sí",ISNUMBER(I87),ISNUMBER(K87),I87&gt;0,K87&gt;0,O87&lt;&gt;"",P87&lt;&gt;""),"Sí","")</f>
        <v/>
      </c>
    </row>
    <row r="88">
      <c r="A88" s="3" t="inlineStr"/>
      <c r="B88" s="3" t="inlineStr"/>
      <c r="C88" s="3" t="inlineStr"/>
      <c r="D88" s="3" t="inlineStr"/>
      <c r="E88" s="3" t="inlineStr"/>
      <c r="F88" s="3" t="inlineStr"/>
      <c r="G88" s="4" t="inlineStr"/>
      <c r="H88" s="3" t="inlineStr"/>
      <c r="I88" s="5" t="inlineStr"/>
      <c r="J88" s="3" t="inlineStr"/>
      <c r="K88" s="5" t="inlineStr"/>
      <c r="L88" s="3" t="inlineStr"/>
      <c r="M88" s="3" t="inlineStr"/>
      <c r="N88" s="3" t="inlineStr"/>
      <c r="O88" s="3" t="inlineStr"/>
      <c r="P88" s="3" t="inlineStr"/>
      <c r="Q88" s="6">
        <f>IF(S88="Sí",I88-K88,"")</f>
        <v/>
      </c>
      <c r="R88" s="7">
        <f>IF(S88="Sí",Q88/I88,"")</f>
        <v/>
      </c>
      <c r="S88" s="8">
        <f>IF(AND('Preparación'!$B$2&lt;&gt;"",'Preparación'!$B$3&lt;&gt;"",COUNTIF(CodigosCasos,B88)=1,COUNTIF(CodigosTareas,C88)=1,COUNTIFS($B$2:$B$201,B88,$C$2:$C$201,C88,$D$2:$D$201,D88)=1,ISNUMBER(D88),D88&gt;0,INT(D88)=D88,D88&lt;=100,OR(E88="Manual → LegalTriage",E88="LegalTriage → Manual"),F88&lt;&gt;"",ISNUMBER(G88),G88&gt;0,H88="Correcta",J88="Correcta",L88="Sí",ISNUMBER(I88),ISNUMBER(K88),I88&gt;0,K88&gt;0,O88&lt;&gt;"",P88&lt;&gt;""),"Sí","")</f>
        <v/>
      </c>
    </row>
    <row r="89">
      <c r="A89" s="3" t="inlineStr"/>
      <c r="B89" s="3" t="inlineStr"/>
      <c r="C89" s="3" t="inlineStr"/>
      <c r="D89" s="3" t="inlineStr"/>
      <c r="E89" s="3" t="inlineStr"/>
      <c r="F89" s="3" t="inlineStr"/>
      <c r="G89" s="4" t="inlineStr"/>
      <c r="H89" s="3" t="inlineStr"/>
      <c r="I89" s="5" t="inlineStr"/>
      <c r="J89" s="3" t="inlineStr"/>
      <c r="K89" s="5" t="inlineStr"/>
      <c r="L89" s="3" t="inlineStr"/>
      <c r="M89" s="3" t="inlineStr"/>
      <c r="N89" s="3" t="inlineStr"/>
      <c r="O89" s="3" t="inlineStr"/>
      <c r="P89" s="3" t="inlineStr"/>
      <c r="Q89" s="6">
        <f>IF(S89="Sí",I89-K89,"")</f>
        <v/>
      </c>
      <c r="R89" s="7">
        <f>IF(S89="Sí",Q89/I89,"")</f>
        <v/>
      </c>
      <c r="S89" s="8">
        <f>IF(AND('Preparación'!$B$2&lt;&gt;"",'Preparación'!$B$3&lt;&gt;"",COUNTIF(CodigosCasos,B89)=1,COUNTIF(CodigosTareas,C89)=1,COUNTIFS($B$2:$B$201,B89,$C$2:$C$201,C89,$D$2:$D$201,D89)=1,ISNUMBER(D89),D89&gt;0,INT(D89)=D89,D89&lt;=100,OR(E89="Manual → LegalTriage",E89="LegalTriage → Manual"),F89&lt;&gt;"",ISNUMBER(G89),G89&gt;0,H89="Correcta",J89="Correcta",L89="Sí",ISNUMBER(I89),ISNUMBER(K89),I89&gt;0,K89&gt;0,O89&lt;&gt;"",P89&lt;&gt;""),"Sí","")</f>
        <v/>
      </c>
    </row>
    <row r="90">
      <c r="A90" s="3" t="inlineStr"/>
      <c r="B90" s="3" t="inlineStr"/>
      <c r="C90" s="3" t="inlineStr"/>
      <c r="D90" s="3" t="inlineStr"/>
      <c r="E90" s="3" t="inlineStr"/>
      <c r="F90" s="3" t="inlineStr"/>
      <c r="G90" s="4" t="inlineStr"/>
      <c r="H90" s="3" t="inlineStr"/>
      <c r="I90" s="5" t="inlineStr"/>
      <c r="J90" s="3" t="inlineStr"/>
      <c r="K90" s="5" t="inlineStr"/>
      <c r="L90" s="3" t="inlineStr"/>
      <c r="M90" s="3" t="inlineStr"/>
      <c r="N90" s="3" t="inlineStr"/>
      <c r="O90" s="3" t="inlineStr"/>
      <c r="P90" s="3" t="inlineStr"/>
      <c r="Q90" s="6">
        <f>IF(S90="Sí",I90-K90,"")</f>
        <v/>
      </c>
      <c r="R90" s="7">
        <f>IF(S90="Sí",Q90/I90,"")</f>
        <v/>
      </c>
      <c r="S90" s="8">
        <f>IF(AND('Preparación'!$B$2&lt;&gt;"",'Preparación'!$B$3&lt;&gt;"",COUNTIF(CodigosCasos,B90)=1,COUNTIF(CodigosTareas,C90)=1,COUNTIFS($B$2:$B$201,B90,$C$2:$C$201,C90,$D$2:$D$201,D90)=1,ISNUMBER(D90),D90&gt;0,INT(D90)=D90,D90&lt;=100,OR(E90="Manual → LegalTriage",E90="LegalTriage → Manual"),F90&lt;&gt;"",ISNUMBER(G90),G90&gt;0,H90="Correcta",J90="Correcta",L90="Sí",ISNUMBER(I90),ISNUMBER(K90),I90&gt;0,K90&gt;0,O90&lt;&gt;"",P90&lt;&gt;""),"Sí","")</f>
        <v/>
      </c>
    </row>
    <row r="91">
      <c r="A91" s="3" t="inlineStr"/>
      <c r="B91" s="3" t="inlineStr"/>
      <c r="C91" s="3" t="inlineStr"/>
      <c r="D91" s="3" t="inlineStr"/>
      <c r="E91" s="3" t="inlineStr"/>
      <c r="F91" s="3" t="inlineStr"/>
      <c r="G91" s="4" t="inlineStr"/>
      <c r="H91" s="3" t="inlineStr"/>
      <c r="I91" s="5" t="inlineStr"/>
      <c r="J91" s="3" t="inlineStr"/>
      <c r="K91" s="5" t="inlineStr"/>
      <c r="L91" s="3" t="inlineStr"/>
      <c r="M91" s="3" t="inlineStr"/>
      <c r="N91" s="3" t="inlineStr"/>
      <c r="O91" s="3" t="inlineStr"/>
      <c r="P91" s="3" t="inlineStr"/>
      <c r="Q91" s="6">
        <f>IF(S91="Sí",I91-K91,"")</f>
        <v/>
      </c>
      <c r="R91" s="7">
        <f>IF(S91="Sí",Q91/I91,"")</f>
        <v/>
      </c>
      <c r="S91" s="8">
        <f>IF(AND('Preparación'!$B$2&lt;&gt;"",'Preparación'!$B$3&lt;&gt;"",COUNTIF(CodigosCasos,B91)=1,COUNTIF(CodigosTareas,C91)=1,COUNTIFS($B$2:$B$201,B91,$C$2:$C$201,C91,$D$2:$D$201,D91)=1,ISNUMBER(D91),D91&gt;0,INT(D91)=D91,D91&lt;=100,OR(E91="Manual → LegalTriage",E91="LegalTriage → Manual"),F91&lt;&gt;"",ISNUMBER(G91),G91&gt;0,H91="Correcta",J91="Correcta",L91="Sí",ISNUMBER(I91),ISNUMBER(K91),I91&gt;0,K91&gt;0,O91&lt;&gt;"",P91&lt;&gt;""),"Sí","")</f>
        <v/>
      </c>
    </row>
    <row r="92">
      <c r="A92" s="3" t="inlineStr"/>
      <c r="B92" s="3" t="inlineStr"/>
      <c r="C92" s="3" t="inlineStr"/>
      <c r="D92" s="3" t="inlineStr"/>
      <c r="E92" s="3" t="inlineStr"/>
      <c r="F92" s="3" t="inlineStr"/>
      <c r="G92" s="4" t="inlineStr"/>
      <c r="H92" s="3" t="inlineStr"/>
      <c r="I92" s="5" t="inlineStr"/>
      <c r="J92" s="3" t="inlineStr"/>
      <c r="K92" s="5" t="inlineStr"/>
      <c r="L92" s="3" t="inlineStr"/>
      <c r="M92" s="3" t="inlineStr"/>
      <c r="N92" s="3" t="inlineStr"/>
      <c r="O92" s="3" t="inlineStr"/>
      <c r="P92" s="3" t="inlineStr"/>
      <c r="Q92" s="6">
        <f>IF(S92="Sí",I92-K92,"")</f>
        <v/>
      </c>
      <c r="R92" s="7">
        <f>IF(S92="Sí",Q92/I92,"")</f>
        <v/>
      </c>
      <c r="S92" s="8">
        <f>IF(AND('Preparación'!$B$2&lt;&gt;"",'Preparación'!$B$3&lt;&gt;"",COUNTIF(CodigosCasos,B92)=1,COUNTIF(CodigosTareas,C92)=1,COUNTIFS($B$2:$B$201,B92,$C$2:$C$201,C92,$D$2:$D$201,D92)=1,ISNUMBER(D92),D92&gt;0,INT(D92)=D92,D92&lt;=100,OR(E92="Manual → LegalTriage",E92="LegalTriage → Manual"),F92&lt;&gt;"",ISNUMBER(G92),G92&gt;0,H92="Correcta",J92="Correcta",L92="Sí",ISNUMBER(I92),ISNUMBER(K92),I92&gt;0,K92&gt;0,O92&lt;&gt;"",P92&lt;&gt;""),"Sí","")</f>
        <v/>
      </c>
    </row>
    <row r="93">
      <c r="A93" s="3" t="inlineStr"/>
      <c r="B93" s="3" t="inlineStr"/>
      <c r="C93" s="3" t="inlineStr"/>
      <c r="D93" s="3" t="inlineStr"/>
      <c r="E93" s="3" t="inlineStr"/>
      <c r="F93" s="3" t="inlineStr"/>
      <c r="G93" s="4" t="inlineStr"/>
      <c r="H93" s="3" t="inlineStr"/>
      <c r="I93" s="5" t="inlineStr"/>
      <c r="J93" s="3" t="inlineStr"/>
      <c r="K93" s="5" t="inlineStr"/>
      <c r="L93" s="3" t="inlineStr"/>
      <c r="M93" s="3" t="inlineStr"/>
      <c r="N93" s="3" t="inlineStr"/>
      <c r="O93" s="3" t="inlineStr"/>
      <c r="P93" s="3" t="inlineStr"/>
      <c r="Q93" s="6">
        <f>IF(S93="Sí",I93-K93,"")</f>
        <v/>
      </c>
      <c r="R93" s="7">
        <f>IF(S93="Sí",Q93/I93,"")</f>
        <v/>
      </c>
      <c r="S93" s="8">
        <f>IF(AND('Preparación'!$B$2&lt;&gt;"",'Preparación'!$B$3&lt;&gt;"",COUNTIF(CodigosCasos,B93)=1,COUNTIF(CodigosTareas,C93)=1,COUNTIFS($B$2:$B$201,B93,$C$2:$C$201,C93,$D$2:$D$201,D93)=1,ISNUMBER(D93),D93&gt;0,INT(D93)=D93,D93&lt;=100,OR(E93="Manual → LegalTriage",E93="LegalTriage → Manual"),F93&lt;&gt;"",ISNUMBER(G93),G93&gt;0,H93="Correcta",J93="Correcta",L93="Sí",ISNUMBER(I93),ISNUMBER(K93),I93&gt;0,K93&gt;0,O93&lt;&gt;"",P93&lt;&gt;""),"Sí","")</f>
        <v/>
      </c>
    </row>
    <row r="94">
      <c r="A94" s="3" t="inlineStr"/>
      <c r="B94" s="3" t="inlineStr"/>
      <c r="C94" s="3" t="inlineStr"/>
      <c r="D94" s="3" t="inlineStr"/>
      <c r="E94" s="3" t="inlineStr"/>
      <c r="F94" s="3" t="inlineStr"/>
      <c r="G94" s="4" t="inlineStr"/>
      <c r="H94" s="3" t="inlineStr"/>
      <c r="I94" s="5" t="inlineStr"/>
      <c r="J94" s="3" t="inlineStr"/>
      <c r="K94" s="5" t="inlineStr"/>
      <c r="L94" s="3" t="inlineStr"/>
      <c r="M94" s="3" t="inlineStr"/>
      <c r="N94" s="3" t="inlineStr"/>
      <c r="O94" s="3" t="inlineStr"/>
      <c r="P94" s="3" t="inlineStr"/>
      <c r="Q94" s="6">
        <f>IF(S94="Sí",I94-K94,"")</f>
        <v/>
      </c>
      <c r="R94" s="7">
        <f>IF(S94="Sí",Q94/I94,"")</f>
        <v/>
      </c>
      <c r="S94" s="8">
        <f>IF(AND('Preparación'!$B$2&lt;&gt;"",'Preparación'!$B$3&lt;&gt;"",COUNTIF(CodigosCasos,B94)=1,COUNTIF(CodigosTareas,C94)=1,COUNTIFS($B$2:$B$201,B94,$C$2:$C$201,C94,$D$2:$D$201,D94)=1,ISNUMBER(D94),D94&gt;0,INT(D94)=D94,D94&lt;=100,OR(E94="Manual → LegalTriage",E94="LegalTriage → Manual"),F94&lt;&gt;"",ISNUMBER(G94),G94&gt;0,H94="Correcta",J94="Correcta",L94="Sí",ISNUMBER(I94),ISNUMBER(K94),I94&gt;0,K94&gt;0,O94&lt;&gt;"",P94&lt;&gt;""),"Sí","")</f>
        <v/>
      </c>
    </row>
    <row r="95">
      <c r="A95" s="3" t="inlineStr"/>
      <c r="B95" s="3" t="inlineStr"/>
      <c r="C95" s="3" t="inlineStr"/>
      <c r="D95" s="3" t="inlineStr"/>
      <c r="E95" s="3" t="inlineStr"/>
      <c r="F95" s="3" t="inlineStr"/>
      <c r="G95" s="4" t="inlineStr"/>
      <c r="H95" s="3" t="inlineStr"/>
      <c r="I95" s="5" t="inlineStr"/>
      <c r="J95" s="3" t="inlineStr"/>
      <c r="K95" s="5" t="inlineStr"/>
      <c r="L95" s="3" t="inlineStr"/>
      <c r="M95" s="3" t="inlineStr"/>
      <c r="N95" s="3" t="inlineStr"/>
      <c r="O95" s="3" t="inlineStr"/>
      <c r="P95" s="3" t="inlineStr"/>
      <c r="Q95" s="6">
        <f>IF(S95="Sí",I95-K95,"")</f>
        <v/>
      </c>
      <c r="R95" s="7">
        <f>IF(S95="Sí",Q95/I95,"")</f>
        <v/>
      </c>
      <c r="S95" s="8">
        <f>IF(AND('Preparación'!$B$2&lt;&gt;"",'Preparación'!$B$3&lt;&gt;"",COUNTIF(CodigosCasos,B95)=1,COUNTIF(CodigosTareas,C95)=1,COUNTIFS($B$2:$B$201,B95,$C$2:$C$201,C95,$D$2:$D$201,D95)=1,ISNUMBER(D95),D95&gt;0,INT(D95)=D95,D95&lt;=100,OR(E95="Manual → LegalTriage",E95="LegalTriage → Manual"),F95&lt;&gt;"",ISNUMBER(G95),G95&gt;0,H95="Correcta",J95="Correcta",L95="Sí",ISNUMBER(I95),ISNUMBER(K95),I95&gt;0,K95&gt;0,O95&lt;&gt;"",P95&lt;&gt;""),"Sí","")</f>
        <v/>
      </c>
    </row>
    <row r="96">
      <c r="A96" s="3" t="inlineStr"/>
      <c r="B96" s="3" t="inlineStr"/>
      <c r="C96" s="3" t="inlineStr"/>
      <c r="D96" s="3" t="inlineStr"/>
      <c r="E96" s="3" t="inlineStr"/>
      <c r="F96" s="3" t="inlineStr"/>
      <c r="G96" s="4" t="inlineStr"/>
      <c r="H96" s="3" t="inlineStr"/>
      <c r="I96" s="5" t="inlineStr"/>
      <c r="J96" s="3" t="inlineStr"/>
      <c r="K96" s="5" t="inlineStr"/>
      <c r="L96" s="3" t="inlineStr"/>
      <c r="M96" s="3" t="inlineStr"/>
      <c r="N96" s="3" t="inlineStr"/>
      <c r="O96" s="3" t="inlineStr"/>
      <c r="P96" s="3" t="inlineStr"/>
      <c r="Q96" s="6">
        <f>IF(S96="Sí",I96-K96,"")</f>
        <v/>
      </c>
      <c r="R96" s="7">
        <f>IF(S96="Sí",Q96/I96,"")</f>
        <v/>
      </c>
      <c r="S96" s="8">
        <f>IF(AND('Preparación'!$B$2&lt;&gt;"",'Preparación'!$B$3&lt;&gt;"",COUNTIF(CodigosCasos,B96)=1,COUNTIF(CodigosTareas,C96)=1,COUNTIFS($B$2:$B$201,B96,$C$2:$C$201,C96,$D$2:$D$201,D96)=1,ISNUMBER(D96),D96&gt;0,INT(D96)=D96,D96&lt;=100,OR(E96="Manual → LegalTriage",E96="LegalTriage → Manual"),F96&lt;&gt;"",ISNUMBER(G96),G96&gt;0,H96="Correcta",J96="Correcta",L96="Sí",ISNUMBER(I96),ISNUMBER(K96),I96&gt;0,K96&gt;0,O96&lt;&gt;"",P96&lt;&gt;""),"Sí","")</f>
        <v/>
      </c>
    </row>
    <row r="97">
      <c r="A97" s="3" t="inlineStr"/>
      <c r="B97" s="3" t="inlineStr"/>
      <c r="C97" s="3" t="inlineStr"/>
      <c r="D97" s="3" t="inlineStr"/>
      <c r="E97" s="3" t="inlineStr"/>
      <c r="F97" s="3" t="inlineStr"/>
      <c r="G97" s="4" t="inlineStr"/>
      <c r="H97" s="3" t="inlineStr"/>
      <c r="I97" s="5" t="inlineStr"/>
      <c r="J97" s="3" t="inlineStr"/>
      <c r="K97" s="5" t="inlineStr"/>
      <c r="L97" s="3" t="inlineStr"/>
      <c r="M97" s="3" t="inlineStr"/>
      <c r="N97" s="3" t="inlineStr"/>
      <c r="O97" s="3" t="inlineStr"/>
      <c r="P97" s="3" t="inlineStr"/>
      <c r="Q97" s="6">
        <f>IF(S97="Sí",I97-K97,"")</f>
        <v/>
      </c>
      <c r="R97" s="7">
        <f>IF(S97="Sí",Q97/I97,"")</f>
        <v/>
      </c>
      <c r="S97" s="8">
        <f>IF(AND('Preparación'!$B$2&lt;&gt;"",'Preparación'!$B$3&lt;&gt;"",COUNTIF(CodigosCasos,B97)=1,COUNTIF(CodigosTareas,C97)=1,COUNTIFS($B$2:$B$201,B97,$C$2:$C$201,C97,$D$2:$D$201,D97)=1,ISNUMBER(D97),D97&gt;0,INT(D97)=D97,D97&lt;=100,OR(E97="Manual → LegalTriage",E97="LegalTriage → Manual"),F97&lt;&gt;"",ISNUMBER(G97),G97&gt;0,H97="Correcta",J97="Correcta",L97="Sí",ISNUMBER(I97),ISNUMBER(K97),I97&gt;0,K97&gt;0,O97&lt;&gt;"",P97&lt;&gt;""),"Sí","")</f>
        <v/>
      </c>
    </row>
    <row r="98">
      <c r="A98" s="3" t="inlineStr"/>
      <c r="B98" s="3" t="inlineStr"/>
      <c r="C98" s="3" t="inlineStr"/>
      <c r="D98" s="3" t="inlineStr"/>
      <c r="E98" s="3" t="inlineStr"/>
      <c r="F98" s="3" t="inlineStr"/>
      <c r="G98" s="4" t="inlineStr"/>
      <c r="H98" s="3" t="inlineStr"/>
      <c r="I98" s="5" t="inlineStr"/>
      <c r="J98" s="3" t="inlineStr"/>
      <c r="K98" s="5" t="inlineStr"/>
      <c r="L98" s="3" t="inlineStr"/>
      <c r="M98" s="3" t="inlineStr"/>
      <c r="N98" s="3" t="inlineStr"/>
      <c r="O98" s="3" t="inlineStr"/>
      <c r="P98" s="3" t="inlineStr"/>
      <c r="Q98" s="6">
        <f>IF(S98="Sí",I98-K98,"")</f>
        <v/>
      </c>
      <c r="R98" s="7">
        <f>IF(S98="Sí",Q98/I98,"")</f>
        <v/>
      </c>
      <c r="S98" s="8">
        <f>IF(AND('Preparación'!$B$2&lt;&gt;"",'Preparación'!$B$3&lt;&gt;"",COUNTIF(CodigosCasos,B98)=1,COUNTIF(CodigosTareas,C98)=1,COUNTIFS($B$2:$B$201,B98,$C$2:$C$201,C98,$D$2:$D$201,D98)=1,ISNUMBER(D98),D98&gt;0,INT(D98)=D98,D98&lt;=100,OR(E98="Manual → LegalTriage",E98="LegalTriage → Manual"),F98&lt;&gt;"",ISNUMBER(G98),G98&gt;0,H98="Correcta",J98="Correcta",L98="Sí",ISNUMBER(I98),ISNUMBER(K98),I98&gt;0,K98&gt;0,O98&lt;&gt;"",P98&lt;&gt;""),"Sí","")</f>
        <v/>
      </c>
    </row>
    <row r="99">
      <c r="A99" s="3" t="inlineStr"/>
      <c r="B99" s="3" t="inlineStr"/>
      <c r="C99" s="3" t="inlineStr"/>
      <c r="D99" s="3" t="inlineStr"/>
      <c r="E99" s="3" t="inlineStr"/>
      <c r="F99" s="3" t="inlineStr"/>
      <c r="G99" s="4" t="inlineStr"/>
      <c r="H99" s="3" t="inlineStr"/>
      <c r="I99" s="5" t="inlineStr"/>
      <c r="J99" s="3" t="inlineStr"/>
      <c r="K99" s="5" t="inlineStr"/>
      <c r="L99" s="3" t="inlineStr"/>
      <c r="M99" s="3" t="inlineStr"/>
      <c r="N99" s="3" t="inlineStr"/>
      <c r="O99" s="3" t="inlineStr"/>
      <c r="P99" s="3" t="inlineStr"/>
      <c r="Q99" s="6">
        <f>IF(S99="Sí",I99-K99,"")</f>
        <v/>
      </c>
      <c r="R99" s="7">
        <f>IF(S99="Sí",Q99/I99,"")</f>
        <v/>
      </c>
      <c r="S99" s="8">
        <f>IF(AND('Preparación'!$B$2&lt;&gt;"",'Preparación'!$B$3&lt;&gt;"",COUNTIF(CodigosCasos,B99)=1,COUNTIF(CodigosTareas,C99)=1,COUNTIFS($B$2:$B$201,B99,$C$2:$C$201,C99,$D$2:$D$201,D99)=1,ISNUMBER(D99),D99&gt;0,INT(D99)=D99,D99&lt;=100,OR(E99="Manual → LegalTriage",E99="LegalTriage → Manual"),F99&lt;&gt;"",ISNUMBER(G99),G99&gt;0,H99="Correcta",J99="Correcta",L99="Sí",ISNUMBER(I99),ISNUMBER(K99),I99&gt;0,K99&gt;0,O99&lt;&gt;"",P99&lt;&gt;""),"Sí","")</f>
        <v/>
      </c>
    </row>
    <row r="100">
      <c r="A100" s="3" t="inlineStr"/>
      <c r="B100" s="3" t="inlineStr"/>
      <c r="C100" s="3" t="inlineStr"/>
      <c r="D100" s="3" t="inlineStr"/>
      <c r="E100" s="3" t="inlineStr"/>
      <c r="F100" s="3" t="inlineStr"/>
      <c r="G100" s="4" t="inlineStr"/>
      <c r="H100" s="3" t="inlineStr"/>
      <c r="I100" s="5" t="inlineStr"/>
      <c r="J100" s="3" t="inlineStr"/>
      <c r="K100" s="5" t="inlineStr"/>
      <c r="L100" s="3" t="inlineStr"/>
      <c r="M100" s="3" t="inlineStr"/>
      <c r="N100" s="3" t="inlineStr"/>
      <c r="O100" s="3" t="inlineStr"/>
      <c r="P100" s="3" t="inlineStr"/>
      <c r="Q100" s="6">
        <f>IF(S100="Sí",I100-K100,"")</f>
        <v/>
      </c>
      <c r="R100" s="7">
        <f>IF(S100="Sí",Q100/I100,"")</f>
        <v/>
      </c>
      <c r="S100" s="8">
        <f>IF(AND('Preparación'!$B$2&lt;&gt;"",'Preparación'!$B$3&lt;&gt;"",COUNTIF(CodigosCasos,B100)=1,COUNTIF(CodigosTareas,C100)=1,COUNTIFS($B$2:$B$201,B100,$C$2:$C$201,C100,$D$2:$D$201,D100)=1,ISNUMBER(D100),D100&gt;0,INT(D100)=D100,D100&lt;=100,OR(E100="Manual → LegalTriage",E100="LegalTriage → Manual"),F100&lt;&gt;"",ISNUMBER(G100),G100&gt;0,H100="Correcta",J100="Correcta",L100="Sí",ISNUMBER(I100),ISNUMBER(K100),I100&gt;0,K100&gt;0,O100&lt;&gt;"",P100&lt;&gt;""),"Sí","")</f>
        <v/>
      </c>
    </row>
    <row r="101">
      <c r="A101" s="3" t="inlineStr"/>
      <c r="B101" s="3" t="inlineStr"/>
      <c r="C101" s="3" t="inlineStr"/>
      <c r="D101" s="3" t="inlineStr"/>
      <c r="E101" s="3" t="inlineStr"/>
      <c r="F101" s="3" t="inlineStr"/>
      <c r="G101" s="4" t="inlineStr"/>
      <c r="H101" s="3" t="inlineStr"/>
      <c r="I101" s="5" t="inlineStr"/>
      <c r="J101" s="3" t="inlineStr"/>
      <c r="K101" s="5" t="inlineStr"/>
      <c r="L101" s="3" t="inlineStr"/>
      <c r="M101" s="3" t="inlineStr"/>
      <c r="N101" s="3" t="inlineStr"/>
      <c r="O101" s="3" t="inlineStr"/>
      <c r="P101" s="3" t="inlineStr"/>
      <c r="Q101" s="6">
        <f>IF(S101="Sí",I101-K101,"")</f>
        <v/>
      </c>
      <c r="R101" s="7">
        <f>IF(S101="Sí",Q101/I101,"")</f>
        <v/>
      </c>
      <c r="S101" s="8">
        <f>IF(AND('Preparación'!$B$2&lt;&gt;"",'Preparación'!$B$3&lt;&gt;"",COUNTIF(CodigosCasos,B101)=1,COUNTIF(CodigosTareas,C101)=1,COUNTIFS($B$2:$B$201,B101,$C$2:$C$201,C101,$D$2:$D$201,D101)=1,ISNUMBER(D101),D101&gt;0,INT(D101)=D101,D101&lt;=100,OR(E101="Manual → LegalTriage",E101="LegalTriage → Manual"),F101&lt;&gt;"",ISNUMBER(G101),G101&gt;0,H101="Correcta",J101="Correcta",L101="Sí",ISNUMBER(I101),ISNUMBER(K101),I101&gt;0,K101&gt;0,O101&lt;&gt;"",P101&lt;&gt;""),"Sí","")</f>
        <v/>
      </c>
    </row>
    <row r="102">
      <c r="A102" s="3" t="inlineStr"/>
      <c r="B102" s="3" t="inlineStr"/>
      <c r="C102" s="3" t="inlineStr"/>
      <c r="D102" s="3" t="inlineStr"/>
      <c r="E102" s="3" t="inlineStr"/>
      <c r="F102" s="3" t="inlineStr"/>
      <c r="G102" s="4" t="inlineStr"/>
      <c r="H102" s="3" t="inlineStr"/>
      <c r="I102" s="5" t="inlineStr"/>
      <c r="J102" s="3" t="inlineStr"/>
      <c r="K102" s="5" t="inlineStr"/>
      <c r="L102" s="3" t="inlineStr"/>
      <c r="M102" s="3" t="inlineStr"/>
      <c r="N102" s="3" t="inlineStr"/>
      <c r="O102" s="3" t="inlineStr"/>
      <c r="P102" s="3" t="inlineStr"/>
      <c r="Q102" s="6">
        <f>IF(S102="Sí",I102-K102,"")</f>
        <v/>
      </c>
      <c r="R102" s="7">
        <f>IF(S102="Sí",Q102/I102,"")</f>
        <v/>
      </c>
      <c r="S102" s="8">
        <f>IF(AND('Preparación'!$B$2&lt;&gt;"",'Preparación'!$B$3&lt;&gt;"",COUNTIF(CodigosCasos,B102)=1,COUNTIF(CodigosTareas,C102)=1,COUNTIFS($B$2:$B$201,B102,$C$2:$C$201,C102,$D$2:$D$201,D102)=1,ISNUMBER(D102),D102&gt;0,INT(D102)=D102,D102&lt;=100,OR(E102="Manual → LegalTriage",E102="LegalTriage → Manual"),F102&lt;&gt;"",ISNUMBER(G102),G102&gt;0,H102="Correcta",J102="Correcta",L102="Sí",ISNUMBER(I102),ISNUMBER(K102),I102&gt;0,K102&gt;0,O102&lt;&gt;"",P102&lt;&gt;""),"Sí","")</f>
        <v/>
      </c>
    </row>
    <row r="103">
      <c r="A103" s="3" t="inlineStr"/>
      <c r="B103" s="3" t="inlineStr"/>
      <c r="C103" s="3" t="inlineStr"/>
      <c r="D103" s="3" t="inlineStr"/>
      <c r="E103" s="3" t="inlineStr"/>
      <c r="F103" s="3" t="inlineStr"/>
      <c r="G103" s="4" t="inlineStr"/>
      <c r="H103" s="3" t="inlineStr"/>
      <c r="I103" s="5" t="inlineStr"/>
      <c r="J103" s="3" t="inlineStr"/>
      <c r="K103" s="5" t="inlineStr"/>
      <c r="L103" s="3" t="inlineStr"/>
      <c r="M103" s="3" t="inlineStr"/>
      <c r="N103" s="3" t="inlineStr"/>
      <c r="O103" s="3" t="inlineStr"/>
      <c r="P103" s="3" t="inlineStr"/>
      <c r="Q103" s="6">
        <f>IF(S103="Sí",I103-K103,"")</f>
        <v/>
      </c>
      <c r="R103" s="7">
        <f>IF(S103="Sí",Q103/I103,"")</f>
        <v/>
      </c>
      <c r="S103" s="8">
        <f>IF(AND('Preparación'!$B$2&lt;&gt;"",'Preparación'!$B$3&lt;&gt;"",COUNTIF(CodigosCasos,B103)=1,COUNTIF(CodigosTareas,C103)=1,COUNTIFS($B$2:$B$201,B103,$C$2:$C$201,C103,$D$2:$D$201,D103)=1,ISNUMBER(D103),D103&gt;0,INT(D103)=D103,D103&lt;=100,OR(E103="Manual → LegalTriage",E103="LegalTriage → Manual"),F103&lt;&gt;"",ISNUMBER(G103),G103&gt;0,H103="Correcta",J103="Correcta",L103="Sí",ISNUMBER(I103),ISNUMBER(K103),I103&gt;0,K103&gt;0,O103&lt;&gt;"",P103&lt;&gt;""),"Sí","")</f>
        <v/>
      </c>
    </row>
    <row r="104">
      <c r="A104" s="3" t="inlineStr"/>
      <c r="B104" s="3" t="inlineStr"/>
      <c r="C104" s="3" t="inlineStr"/>
      <c r="D104" s="3" t="inlineStr"/>
      <c r="E104" s="3" t="inlineStr"/>
      <c r="F104" s="3" t="inlineStr"/>
      <c r="G104" s="4" t="inlineStr"/>
      <c r="H104" s="3" t="inlineStr"/>
      <c r="I104" s="5" t="inlineStr"/>
      <c r="J104" s="3" t="inlineStr"/>
      <c r="K104" s="5" t="inlineStr"/>
      <c r="L104" s="3" t="inlineStr"/>
      <c r="M104" s="3" t="inlineStr"/>
      <c r="N104" s="3" t="inlineStr"/>
      <c r="O104" s="3" t="inlineStr"/>
      <c r="P104" s="3" t="inlineStr"/>
      <c r="Q104" s="6">
        <f>IF(S104="Sí",I104-K104,"")</f>
        <v/>
      </c>
      <c r="R104" s="7">
        <f>IF(S104="Sí",Q104/I104,"")</f>
        <v/>
      </c>
      <c r="S104" s="8">
        <f>IF(AND('Preparación'!$B$2&lt;&gt;"",'Preparación'!$B$3&lt;&gt;"",COUNTIF(CodigosCasos,B104)=1,COUNTIF(CodigosTareas,C104)=1,COUNTIFS($B$2:$B$201,B104,$C$2:$C$201,C104,$D$2:$D$201,D104)=1,ISNUMBER(D104),D104&gt;0,INT(D104)=D104,D104&lt;=100,OR(E104="Manual → LegalTriage",E104="LegalTriage → Manual"),F104&lt;&gt;"",ISNUMBER(G104),G104&gt;0,H104="Correcta",J104="Correcta",L104="Sí",ISNUMBER(I104),ISNUMBER(K104),I104&gt;0,K104&gt;0,O104&lt;&gt;"",P104&lt;&gt;""),"Sí","")</f>
        <v/>
      </c>
    </row>
    <row r="105">
      <c r="A105" s="3" t="inlineStr"/>
      <c r="B105" s="3" t="inlineStr"/>
      <c r="C105" s="3" t="inlineStr"/>
      <c r="D105" s="3" t="inlineStr"/>
      <c r="E105" s="3" t="inlineStr"/>
      <c r="F105" s="3" t="inlineStr"/>
      <c r="G105" s="4" t="inlineStr"/>
      <c r="H105" s="3" t="inlineStr"/>
      <c r="I105" s="5" t="inlineStr"/>
      <c r="J105" s="3" t="inlineStr"/>
      <c r="K105" s="5" t="inlineStr"/>
      <c r="L105" s="3" t="inlineStr"/>
      <c r="M105" s="3" t="inlineStr"/>
      <c r="N105" s="3" t="inlineStr"/>
      <c r="O105" s="3" t="inlineStr"/>
      <c r="P105" s="3" t="inlineStr"/>
      <c r="Q105" s="6">
        <f>IF(S105="Sí",I105-K105,"")</f>
        <v/>
      </c>
      <c r="R105" s="7">
        <f>IF(S105="Sí",Q105/I105,"")</f>
        <v/>
      </c>
      <c r="S105" s="8">
        <f>IF(AND('Preparación'!$B$2&lt;&gt;"",'Preparación'!$B$3&lt;&gt;"",COUNTIF(CodigosCasos,B105)=1,COUNTIF(CodigosTareas,C105)=1,COUNTIFS($B$2:$B$201,B105,$C$2:$C$201,C105,$D$2:$D$201,D105)=1,ISNUMBER(D105),D105&gt;0,INT(D105)=D105,D105&lt;=100,OR(E105="Manual → LegalTriage",E105="LegalTriage → Manual"),F105&lt;&gt;"",ISNUMBER(G105),G105&gt;0,H105="Correcta",J105="Correcta",L105="Sí",ISNUMBER(I105),ISNUMBER(K105),I105&gt;0,K105&gt;0,O105&lt;&gt;"",P105&lt;&gt;""),"Sí","")</f>
        <v/>
      </c>
    </row>
    <row r="106">
      <c r="A106" s="3" t="inlineStr"/>
      <c r="B106" s="3" t="inlineStr"/>
      <c r="C106" s="3" t="inlineStr"/>
      <c r="D106" s="3" t="inlineStr"/>
      <c r="E106" s="3" t="inlineStr"/>
      <c r="F106" s="3" t="inlineStr"/>
      <c r="G106" s="4" t="inlineStr"/>
      <c r="H106" s="3" t="inlineStr"/>
      <c r="I106" s="5" t="inlineStr"/>
      <c r="J106" s="3" t="inlineStr"/>
      <c r="K106" s="5" t="inlineStr"/>
      <c r="L106" s="3" t="inlineStr"/>
      <c r="M106" s="3" t="inlineStr"/>
      <c r="N106" s="3" t="inlineStr"/>
      <c r="O106" s="3" t="inlineStr"/>
      <c r="P106" s="3" t="inlineStr"/>
      <c r="Q106" s="6">
        <f>IF(S106="Sí",I106-K106,"")</f>
        <v/>
      </c>
      <c r="R106" s="7">
        <f>IF(S106="Sí",Q106/I106,"")</f>
        <v/>
      </c>
      <c r="S106" s="8">
        <f>IF(AND('Preparación'!$B$2&lt;&gt;"",'Preparación'!$B$3&lt;&gt;"",COUNTIF(CodigosCasos,B106)=1,COUNTIF(CodigosTareas,C106)=1,COUNTIFS($B$2:$B$201,B106,$C$2:$C$201,C106,$D$2:$D$201,D106)=1,ISNUMBER(D106),D106&gt;0,INT(D106)=D106,D106&lt;=100,OR(E106="Manual → LegalTriage",E106="LegalTriage → Manual"),F106&lt;&gt;"",ISNUMBER(G106),G106&gt;0,H106="Correcta",J106="Correcta",L106="Sí",ISNUMBER(I106),ISNUMBER(K106),I106&gt;0,K106&gt;0,O106&lt;&gt;"",P106&lt;&gt;""),"Sí","")</f>
        <v/>
      </c>
    </row>
    <row r="107">
      <c r="A107" s="3" t="inlineStr"/>
      <c r="B107" s="3" t="inlineStr"/>
      <c r="C107" s="3" t="inlineStr"/>
      <c r="D107" s="3" t="inlineStr"/>
      <c r="E107" s="3" t="inlineStr"/>
      <c r="F107" s="3" t="inlineStr"/>
      <c r="G107" s="4" t="inlineStr"/>
      <c r="H107" s="3" t="inlineStr"/>
      <c r="I107" s="5" t="inlineStr"/>
      <c r="J107" s="3" t="inlineStr"/>
      <c r="K107" s="5" t="inlineStr"/>
      <c r="L107" s="3" t="inlineStr"/>
      <c r="M107" s="3" t="inlineStr"/>
      <c r="N107" s="3" t="inlineStr"/>
      <c r="O107" s="3" t="inlineStr"/>
      <c r="P107" s="3" t="inlineStr"/>
      <c r="Q107" s="6">
        <f>IF(S107="Sí",I107-K107,"")</f>
        <v/>
      </c>
      <c r="R107" s="7">
        <f>IF(S107="Sí",Q107/I107,"")</f>
        <v/>
      </c>
      <c r="S107" s="8">
        <f>IF(AND('Preparación'!$B$2&lt;&gt;"",'Preparación'!$B$3&lt;&gt;"",COUNTIF(CodigosCasos,B107)=1,COUNTIF(CodigosTareas,C107)=1,COUNTIFS($B$2:$B$201,B107,$C$2:$C$201,C107,$D$2:$D$201,D107)=1,ISNUMBER(D107),D107&gt;0,INT(D107)=D107,D107&lt;=100,OR(E107="Manual → LegalTriage",E107="LegalTriage → Manual"),F107&lt;&gt;"",ISNUMBER(G107),G107&gt;0,H107="Correcta",J107="Correcta",L107="Sí",ISNUMBER(I107),ISNUMBER(K107),I107&gt;0,K107&gt;0,O107&lt;&gt;"",P107&lt;&gt;""),"Sí","")</f>
        <v/>
      </c>
    </row>
    <row r="108">
      <c r="A108" s="3" t="inlineStr"/>
      <c r="B108" s="3" t="inlineStr"/>
      <c r="C108" s="3" t="inlineStr"/>
      <c r="D108" s="3" t="inlineStr"/>
      <c r="E108" s="3" t="inlineStr"/>
      <c r="F108" s="3" t="inlineStr"/>
      <c r="G108" s="4" t="inlineStr"/>
      <c r="H108" s="3" t="inlineStr"/>
      <c r="I108" s="5" t="inlineStr"/>
      <c r="J108" s="3" t="inlineStr"/>
      <c r="K108" s="5" t="inlineStr"/>
      <c r="L108" s="3" t="inlineStr"/>
      <c r="M108" s="3" t="inlineStr"/>
      <c r="N108" s="3" t="inlineStr"/>
      <c r="O108" s="3" t="inlineStr"/>
      <c r="P108" s="3" t="inlineStr"/>
      <c r="Q108" s="6">
        <f>IF(S108="Sí",I108-K108,"")</f>
        <v/>
      </c>
      <c r="R108" s="7">
        <f>IF(S108="Sí",Q108/I108,"")</f>
        <v/>
      </c>
      <c r="S108" s="8">
        <f>IF(AND('Preparación'!$B$2&lt;&gt;"",'Preparación'!$B$3&lt;&gt;"",COUNTIF(CodigosCasos,B108)=1,COUNTIF(CodigosTareas,C108)=1,COUNTIFS($B$2:$B$201,B108,$C$2:$C$201,C108,$D$2:$D$201,D108)=1,ISNUMBER(D108),D108&gt;0,INT(D108)=D108,D108&lt;=100,OR(E108="Manual → LegalTriage",E108="LegalTriage → Manual"),F108&lt;&gt;"",ISNUMBER(G108),G108&gt;0,H108="Correcta",J108="Correcta",L108="Sí",ISNUMBER(I108),ISNUMBER(K108),I108&gt;0,K108&gt;0,O108&lt;&gt;"",P108&lt;&gt;""),"Sí","")</f>
        <v/>
      </c>
    </row>
    <row r="109">
      <c r="A109" s="3" t="inlineStr"/>
      <c r="B109" s="3" t="inlineStr"/>
      <c r="C109" s="3" t="inlineStr"/>
      <c r="D109" s="3" t="inlineStr"/>
      <c r="E109" s="3" t="inlineStr"/>
      <c r="F109" s="3" t="inlineStr"/>
      <c r="G109" s="4" t="inlineStr"/>
      <c r="H109" s="3" t="inlineStr"/>
      <c r="I109" s="5" t="inlineStr"/>
      <c r="J109" s="3" t="inlineStr"/>
      <c r="K109" s="5" t="inlineStr"/>
      <c r="L109" s="3" t="inlineStr"/>
      <c r="M109" s="3" t="inlineStr"/>
      <c r="N109" s="3" t="inlineStr"/>
      <c r="O109" s="3" t="inlineStr"/>
      <c r="P109" s="3" t="inlineStr"/>
      <c r="Q109" s="6">
        <f>IF(S109="Sí",I109-K109,"")</f>
        <v/>
      </c>
      <c r="R109" s="7">
        <f>IF(S109="Sí",Q109/I109,"")</f>
        <v/>
      </c>
      <c r="S109" s="8">
        <f>IF(AND('Preparación'!$B$2&lt;&gt;"",'Preparación'!$B$3&lt;&gt;"",COUNTIF(CodigosCasos,B109)=1,COUNTIF(CodigosTareas,C109)=1,COUNTIFS($B$2:$B$201,B109,$C$2:$C$201,C109,$D$2:$D$201,D109)=1,ISNUMBER(D109),D109&gt;0,INT(D109)=D109,D109&lt;=100,OR(E109="Manual → LegalTriage",E109="LegalTriage → Manual"),F109&lt;&gt;"",ISNUMBER(G109),G109&gt;0,H109="Correcta",J109="Correcta",L109="Sí",ISNUMBER(I109),ISNUMBER(K109),I109&gt;0,K109&gt;0,O109&lt;&gt;"",P109&lt;&gt;""),"Sí","")</f>
        <v/>
      </c>
    </row>
    <row r="110">
      <c r="A110" s="3" t="inlineStr"/>
      <c r="B110" s="3" t="inlineStr"/>
      <c r="C110" s="3" t="inlineStr"/>
      <c r="D110" s="3" t="inlineStr"/>
      <c r="E110" s="3" t="inlineStr"/>
      <c r="F110" s="3" t="inlineStr"/>
      <c r="G110" s="4" t="inlineStr"/>
      <c r="H110" s="3" t="inlineStr"/>
      <c r="I110" s="5" t="inlineStr"/>
      <c r="J110" s="3" t="inlineStr"/>
      <c r="K110" s="5" t="inlineStr"/>
      <c r="L110" s="3" t="inlineStr"/>
      <c r="M110" s="3" t="inlineStr"/>
      <c r="N110" s="3" t="inlineStr"/>
      <c r="O110" s="3" t="inlineStr"/>
      <c r="P110" s="3" t="inlineStr"/>
      <c r="Q110" s="6">
        <f>IF(S110="Sí",I110-K110,"")</f>
        <v/>
      </c>
      <c r="R110" s="7">
        <f>IF(S110="Sí",Q110/I110,"")</f>
        <v/>
      </c>
      <c r="S110" s="8">
        <f>IF(AND('Preparación'!$B$2&lt;&gt;"",'Preparación'!$B$3&lt;&gt;"",COUNTIF(CodigosCasos,B110)=1,COUNTIF(CodigosTareas,C110)=1,COUNTIFS($B$2:$B$201,B110,$C$2:$C$201,C110,$D$2:$D$201,D110)=1,ISNUMBER(D110),D110&gt;0,INT(D110)=D110,D110&lt;=100,OR(E110="Manual → LegalTriage",E110="LegalTriage → Manual"),F110&lt;&gt;"",ISNUMBER(G110),G110&gt;0,H110="Correcta",J110="Correcta",L110="Sí",ISNUMBER(I110),ISNUMBER(K110),I110&gt;0,K110&gt;0,O110&lt;&gt;"",P110&lt;&gt;""),"Sí","")</f>
        <v/>
      </c>
    </row>
    <row r="111">
      <c r="A111" s="3" t="inlineStr"/>
      <c r="B111" s="3" t="inlineStr"/>
      <c r="C111" s="3" t="inlineStr"/>
      <c r="D111" s="3" t="inlineStr"/>
      <c r="E111" s="3" t="inlineStr"/>
      <c r="F111" s="3" t="inlineStr"/>
      <c r="G111" s="4" t="inlineStr"/>
      <c r="H111" s="3" t="inlineStr"/>
      <c r="I111" s="5" t="inlineStr"/>
      <c r="J111" s="3" t="inlineStr"/>
      <c r="K111" s="5" t="inlineStr"/>
      <c r="L111" s="3" t="inlineStr"/>
      <c r="M111" s="3" t="inlineStr"/>
      <c r="N111" s="3" t="inlineStr"/>
      <c r="O111" s="3" t="inlineStr"/>
      <c r="P111" s="3" t="inlineStr"/>
      <c r="Q111" s="6">
        <f>IF(S111="Sí",I111-K111,"")</f>
        <v/>
      </c>
      <c r="R111" s="7">
        <f>IF(S111="Sí",Q111/I111,"")</f>
        <v/>
      </c>
      <c r="S111" s="8">
        <f>IF(AND('Preparación'!$B$2&lt;&gt;"",'Preparación'!$B$3&lt;&gt;"",COUNTIF(CodigosCasos,B111)=1,COUNTIF(CodigosTareas,C111)=1,COUNTIFS($B$2:$B$201,B111,$C$2:$C$201,C111,$D$2:$D$201,D111)=1,ISNUMBER(D111),D111&gt;0,INT(D111)=D111,D111&lt;=100,OR(E111="Manual → LegalTriage",E111="LegalTriage → Manual"),F111&lt;&gt;"",ISNUMBER(G111),G111&gt;0,H111="Correcta",J111="Correcta",L111="Sí",ISNUMBER(I111),ISNUMBER(K111),I111&gt;0,K111&gt;0,O111&lt;&gt;"",P111&lt;&gt;""),"Sí","")</f>
        <v/>
      </c>
    </row>
    <row r="112">
      <c r="A112" s="3" t="inlineStr"/>
      <c r="B112" s="3" t="inlineStr"/>
      <c r="C112" s="3" t="inlineStr"/>
      <c r="D112" s="3" t="inlineStr"/>
      <c r="E112" s="3" t="inlineStr"/>
      <c r="F112" s="3" t="inlineStr"/>
      <c r="G112" s="4" t="inlineStr"/>
      <c r="H112" s="3" t="inlineStr"/>
      <c r="I112" s="5" t="inlineStr"/>
      <c r="J112" s="3" t="inlineStr"/>
      <c r="K112" s="5" t="inlineStr"/>
      <c r="L112" s="3" t="inlineStr"/>
      <c r="M112" s="3" t="inlineStr"/>
      <c r="N112" s="3" t="inlineStr"/>
      <c r="O112" s="3" t="inlineStr"/>
      <c r="P112" s="3" t="inlineStr"/>
      <c r="Q112" s="6">
        <f>IF(S112="Sí",I112-K112,"")</f>
        <v/>
      </c>
      <c r="R112" s="7">
        <f>IF(S112="Sí",Q112/I112,"")</f>
        <v/>
      </c>
      <c r="S112" s="8">
        <f>IF(AND('Preparación'!$B$2&lt;&gt;"",'Preparación'!$B$3&lt;&gt;"",COUNTIF(CodigosCasos,B112)=1,COUNTIF(CodigosTareas,C112)=1,COUNTIFS($B$2:$B$201,B112,$C$2:$C$201,C112,$D$2:$D$201,D112)=1,ISNUMBER(D112),D112&gt;0,INT(D112)=D112,D112&lt;=100,OR(E112="Manual → LegalTriage",E112="LegalTriage → Manual"),F112&lt;&gt;"",ISNUMBER(G112),G112&gt;0,H112="Correcta",J112="Correcta",L112="Sí",ISNUMBER(I112),ISNUMBER(K112),I112&gt;0,K112&gt;0,O112&lt;&gt;"",P112&lt;&gt;""),"Sí","")</f>
        <v/>
      </c>
    </row>
    <row r="113">
      <c r="A113" s="3" t="inlineStr"/>
      <c r="B113" s="3" t="inlineStr"/>
      <c r="C113" s="3" t="inlineStr"/>
      <c r="D113" s="3" t="inlineStr"/>
      <c r="E113" s="3" t="inlineStr"/>
      <c r="F113" s="3" t="inlineStr"/>
      <c r="G113" s="4" t="inlineStr"/>
      <c r="H113" s="3" t="inlineStr"/>
      <c r="I113" s="5" t="inlineStr"/>
      <c r="J113" s="3" t="inlineStr"/>
      <c r="K113" s="5" t="inlineStr"/>
      <c r="L113" s="3" t="inlineStr"/>
      <c r="M113" s="3" t="inlineStr"/>
      <c r="N113" s="3" t="inlineStr"/>
      <c r="O113" s="3" t="inlineStr"/>
      <c r="P113" s="3" t="inlineStr"/>
      <c r="Q113" s="6">
        <f>IF(S113="Sí",I113-K113,"")</f>
        <v/>
      </c>
      <c r="R113" s="7">
        <f>IF(S113="Sí",Q113/I113,"")</f>
        <v/>
      </c>
      <c r="S113" s="8">
        <f>IF(AND('Preparación'!$B$2&lt;&gt;"",'Preparación'!$B$3&lt;&gt;"",COUNTIF(CodigosCasos,B113)=1,COUNTIF(CodigosTareas,C113)=1,COUNTIFS($B$2:$B$201,B113,$C$2:$C$201,C113,$D$2:$D$201,D113)=1,ISNUMBER(D113),D113&gt;0,INT(D113)=D113,D113&lt;=100,OR(E113="Manual → LegalTriage",E113="LegalTriage → Manual"),F113&lt;&gt;"",ISNUMBER(G113),G113&gt;0,H113="Correcta",J113="Correcta",L113="Sí",ISNUMBER(I113),ISNUMBER(K113),I113&gt;0,K113&gt;0,O113&lt;&gt;"",P113&lt;&gt;""),"Sí","")</f>
        <v/>
      </c>
    </row>
    <row r="114">
      <c r="A114" s="3" t="inlineStr"/>
      <c r="B114" s="3" t="inlineStr"/>
      <c r="C114" s="3" t="inlineStr"/>
      <c r="D114" s="3" t="inlineStr"/>
      <c r="E114" s="3" t="inlineStr"/>
      <c r="F114" s="3" t="inlineStr"/>
      <c r="G114" s="4" t="inlineStr"/>
      <c r="H114" s="3" t="inlineStr"/>
      <c r="I114" s="5" t="inlineStr"/>
      <c r="J114" s="3" t="inlineStr"/>
      <c r="K114" s="5" t="inlineStr"/>
      <c r="L114" s="3" t="inlineStr"/>
      <c r="M114" s="3" t="inlineStr"/>
      <c r="N114" s="3" t="inlineStr"/>
      <c r="O114" s="3" t="inlineStr"/>
      <c r="P114" s="3" t="inlineStr"/>
      <c r="Q114" s="6">
        <f>IF(S114="Sí",I114-K114,"")</f>
        <v/>
      </c>
      <c r="R114" s="7">
        <f>IF(S114="Sí",Q114/I114,"")</f>
        <v/>
      </c>
      <c r="S114" s="8">
        <f>IF(AND('Preparación'!$B$2&lt;&gt;"",'Preparación'!$B$3&lt;&gt;"",COUNTIF(CodigosCasos,B114)=1,COUNTIF(CodigosTareas,C114)=1,COUNTIFS($B$2:$B$201,B114,$C$2:$C$201,C114,$D$2:$D$201,D114)=1,ISNUMBER(D114),D114&gt;0,INT(D114)=D114,D114&lt;=100,OR(E114="Manual → LegalTriage",E114="LegalTriage → Manual"),F114&lt;&gt;"",ISNUMBER(G114),G114&gt;0,H114="Correcta",J114="Correcta",L114="Sí",ISNUMBER(I114),ISNUMBER(K114),I114&gt;0,K114&gt;0,O114&lt;&gt;"",P114&lt;&gt;""),"Sí","")</f>
        <v/>
      </c>
    </row>
    <row r="115">
      <c r="A115" s="3" t="inlineStr"/>
      <c r="B115" s="3" t="inlineStr"/>
      <c r="C115" s="3" t="inlineStr"/>
      <c r="D115" s="3" t="inlineStr"/>
      <c r="E115" s="3" t="inlineStr"/>
      <c r="F115" s="3" t="inlineStr"/>
      <c r="G115" s="4" t="inlineStr"/>
      <c r="H115" s="3" t="inlineStr"/>
      <c r="I115" s="5" t="inlineStr"/>
      <c r="J115" s="3" t="inlineStr"/>
      <c r="K115" s="5" t="inlineStr"/>
      <c r="L115" s="3" t="inlineStr"/>
      <c r="M115" s="3" t="inlineStr"/>
      <c r="N115" s="3" t="inlineStr"/>
      <c r="O115" s="3" t="inlineStr"/>
      <c r="P115" s="3" t="inlineStr"/>
      <c r="Q115" s="6">
        <f>IF(S115="Sí",I115-K115,"")</f>
        <v/>
      </c>
      <c r="R115" s="7">
        <f>IF(S115="Sí",Q115/I115,"")</f>
        <v/>
      </c>
      <c r="S115" s="8">
        <f>IF(AND('Preparación'!$B$2&lt;&gt;"",'Preparación'!$B$3&lt;&gt;"",COUNTIF(CodigosCasos,B115)=1,COUNTIF(CodigosTareas,C115)=1,COUNTIFS($B$2:$B$201,B115,$C$2:$C$201,C115,$D$2:$D$201,D115)=1,ISNUMBER(D115),D115&gt;0,INT(D115)=D115,D115&lt;=100,OR(E115="Manual → LegalTriage",E115="LegalTriage → Manual"),F115&lt;&gt;"",ISNUMBER(G115),G115&gt;0,H115="Correcta",J115="Correcta",L115="Sí",ISNUMBER(I115),ISNUMBER(K115),I115&gt;0,K115&gt;0,O115&lt;&gt;"",P115&lt;&gt;""),"Sí","")</f>
        <v/>
      </c>
    </row>
    <row r="116">
      <c r="A116" s="3" t="inlineStr"/>
      <c r="B116" s="3" t="inlineStr"/>
      <c r="C116" s="3" t="inlineStr"/>
      <c r="D116" s="3" t="inlineStr"/>
      <c r="E116" s="3" t="inlineStr"/>
      <c r="F116" s="3" t="inlineStr"/>
      <c r="G116" s="4" t="inlineStr"/>
      <c r="H116" s="3" t="inlineStr"/>
      <c r="I116" s="5" t="inlineStr"/>
      <c r="J116" s="3" t="inlineStr"/>
      <c r="K116" s="5" t="inlineStr"/>
      <c r="L116" s="3" t="inlineStr"/>
      <c r="M116" s="3" t="inlineStr"/>
      <c r="N116" s="3" t="inlineStr"/>
      <c r="O116" s="3" t="inlineStr"/>
      <c r="P116" s="3" t="inlineStr"/>
      <c r="Q116" s="6">
        <f>IF(S116="Sí",I116-K116,"")</f>
        <v/>
      </c>
      <c r="R116" s="7">
        <f>IF(S116="Sí",Q116/I116,"")</f>
        <v/>
      </c>
      <c r="S116" s="8">
        <f>IF(AND('Preparación'!$B$2&lt;&gt;"",'Preparación'!$B$3&lt;&gt;"",COUNTIF(CodigosCasos,B116)=1,COUNTIF(CodigosTareas,C116)=1,COUNTIFS($B$2:$B$201,B116,$C$2:$C$201,C116,$D$2:$D$201,D116)=1,ISNUMBER(D116),D116&gt;0,INT(D116)=D116,D116&lt;=100,OR(E116="Manual → LegalTriage",E116="LegalTriage → Manual"),F116&lt;&gt;"",ISNUMBER(G116),G116&gt;0,H116="Correcta",J116="Correcta",L116="Sí",ISNUMBER(I116),ISNUMBER(K116),I116&gt;0,K116&gt;0,O116&lt;&gt;"",P116&lt;&gt;""),"Sí","")</f>
        <v/>
      </c>
    </row>
    <row r="117">
      <c r="A117" s="3" t="inlineStr"/>
      <c r="B117" s="3" t="inlineStr"/>
      <c r="C117" s="3" t="inlineStr"/>
      <c r="D117" s="3" t="inlineStr"/>
      <c r="E117" s="3" t="inlineStr"/>
      <c r="F117" s="3" t="inlineStr"/>
      <c r="G117" s="4" t="inlineStr"/>
      <c r="H117" s="3" t="inlineStr"/>
      <c r="I117" s="5" t="inlineStr"/>
      <c r="J117" s="3" t="inlineStr"/>
      <c r="K117" s="5" t="inlineStr"/>
      <c r="L117" s="3" t="inlineStr"/>
      <c r="M117" s="3" t="inlineStr"/>
      <c r="N117" s="3" t="inlineStr"/>
      <c r="O117" s="3" t="inlineStr"/>
      <c r="P117" s="3" t="inlineStr"/>
      <c r="Q117" s="6">
        <f>IF(S117="Sí",I117-K117,"")</f>
        <v/>
      </c>
      <c r="R117" s="7">
        <f>IF(S117="Sí",Q117/I117,"")</f>
        <v/>
      </c>
      <c r="S117" s="8">
        <f>IF(AND('Preparación'!$B$2&lt;&gt;"",'Preparación'!$B$3&lt;&gt;"",COUNTIF(CodigosCasos,B117)=1,COUNTIF(CodigosTareas,C117)=1,COUNTIFS($B$2:$B$201,B117,$C$2:$C$201,C117,$D$2:$D$201,D117)=1,ISNUMBER(D117),D117&gt;0,INT(D117)=D117,D117&lt;=100,OR(E117="Manual → LegalTriage",E117="LegalTriage → Manual"),F117&lt;&gt;"",ISNUMBER(G117),G117&gt;0,H117="Correcta",J117="Correcta",L117="Sí",ISNUMBER(I117),ISNUMBER(K117),I117&gt;0,K117&gt;0,O117&lt;&gt;"",P117&lt;&gt;""),"Sí","")</f>
        <v/>
      </c>
    </row>
    <row r="118">
      <c r="A118" s="3" t="inlineStr"/>
      <c r="B118" s="3" t="inlineStr"/>
      <c r="C118" s="3" t="inlineStr"/>
      <c r="D118" s="3" t="inlineStr"/>
      <c r="E118" s="3" t="inlineStr"/>
      <c r="F118" s="3" t="inlineStr"/>
      <c r="G118" s="4" t="inlineStr"/>
      <c r="H118" s="3" t="inlineStr"/>
      <c r="I118" s="5" t="inlineStr"/>
      <c r="J118" s="3" t="inlineStr"/>
      <c r="K118" s="5" t="inlineStr"/>
      <c r="L118" s="3" t="inlineStr"/>
      <c r="M118" s="3" t="inlineStr"/>
      <c r="N118" s="3" t="inlineStr"/>
      <c r="O118" s="3" t="inlineStr"/>
      <c r="P118" s="3" t="inlineStr"/>
      <c r="Q118" s="6">
        <f>IF(S118="Sí",I118-K118,"")</f>
        <v/>
      </c>
      <c r="R118" s="7">
        <f>IF(S118="Sí",Q118/I118,"")</f>
        <v/>
      </c>
      <c r="S118" s="8">
        <f>IF(AND('Preparación'!$B$2&lt;&gt;"",'Preparación'!$B$3&lt;&gt;"",COUNTIF(CodigosCasos,B118)=1,COUNTIF(CodigosTareas,C118)=1,COUNTIFS($B$2:$B$201,B118,$C$2:$C$201,C118,$D$2:$D$201,D118)=1,ISNUMBER(D118),D118&gt;0,INT(D118)=D118,D118&lt;=100,OR(E118="Manual → LegalTriage",E118="LegalTriage → Manual"),F118&lt;&gt;"",ISNUMBER(G118),G118&gt;0,H118="Correcta",J118="Correcta",L118="Sí",ISNUMBER(I118),ISNUMBER(K118),I118&gt;0,K118&gt;0,O118&lt;&gt;"",P118&lt;&gt;""),"Sí","")</f>
        <v/>
      </c>
    </row>
    <row r="119">
      <c r="A119" s="3" t="inlineStr"/>
      <c r="B119" s="3" t="inlineStr"/>
      <c r="C119" s="3" t="inlineStr"/>
      <c r="D119" s="3" t="inlineStr"/>
      <c r="E119" s="3" t="inlineStr"/>
      <c r="F119" s="3" t="inlineStr"/>
      <c r="G119" s="4" t="inlineStr"/>
      <c r="H119" s="3" t="inlineStr"/>
      <c r="I119" s="5" t="inlineStr"/>
      <c r="J119" s="3" t="inlineStr"/>
      <c r="K119" s="5" t="inlineStr"/>
      <c r="L119" s="3" t="inlineStr"/>
      <c r="M119" s="3" t="inlineStr"/>
      <c r="N119" s="3" t="inlineStr"/>
      <c r="O119" s="3" t="inlineStr"/>
      <c r="P119" s="3" t="inlineStr"/>
      <c r="Q119" s="6">
        <f>IF(S119="Sí",I119-K119,"")</f>
        <v/>
      </c>
      <c r="R119" s="7">
        <f>IF(S119="Sí",Q119/I119,"")</f>
        <v/>
      </c>
      <c r="S119" s="8">
        <f>IF(AND('Preparación'!$B$2&lt;&gt;"",'Preparación'!$B$3&lt;&gt;"",COUNTIF(CodigosCasos,B119)=1,COUNTIF(CodigosTareas,C119)=1,COUNTIFS($B$2:$B$201,B119,$C$2:$C$201,C119,$D$2:$D$201,D119)=1,ISNUMBER(D119),D119&gt;0,INT(D119)=D119,D119&lt;=100,OR(E119="Manual → LegalTriage",E119="LegalTriage → Manual"),F119&lt;&gt;"",ISNUMBER(G119),G119&gt;0,H119="Correcta",J119="Correcta",L119="Sí",ISNUMBER(I119),ISNUMBER(K119),I119&gt;0,K119&gt;0,O119&lt;&gt;"",P119&lt;&gt;""),"Sí","")</f>
        <v/>
      </c>
    </row>
    <row r="120">
      <c r="A120" s="3" t="inlineStr"/>
      <c r="B120" s="3" t="inlineStr"/>
      <c r="C120" s="3" t="inlineStr"/>
      <c r="D120" s="3" t="inlineStr"/>
      <c r="E120" s="3" t="inlineStr"/>
      <c r="F120" s="3" t="inlineStr"/>
      <c r="G120" s="4" t="inlineStr"/>
      <c r="H120" s="3" t="inlineStr"/>
      <c r="I120" s="5" t="inlineStr"/>
      <c r="J120" s="3" t="inlineStr"/>
      <c r="K120" s="5" t="inlineStr"/>
      <c r="L120" s="3" t="inlineStr"/>
      <c r="M120" s="3" t="inlineStr"/>
      <c r="N120" s="3" t="inlineStr"/>
      <c r="O120" s="3" t="inlineStr"/>
      <c r="P120" s="3" t="inlineStr"/>
      <c r="Q120" s="6">
        <f>IF(S120="Sí",I120-K120,"")</f>
        <v/>
      </c>
      <c r="R120" s="7">
        <f>IF(S120="Sí",Q120/I120,"")</f>
        <v/>
      </c>
      <c r="S120" s="8">
        <f>IF(AND('Preparación'!$B$2&lt;&gt;"",'Preparación'!$B$3&lt;&gt;"",COUNTIF(CodigosCasos,B120)=1,COUNTIF(CodigosTareas,C120)=1,COUNTIFS($B$2:$B$201,B120,$C$2:$C$201,C120,$D$2:$D$201,D120)=1,ISNUMBER(D120),D120&gt;0,INT(D120)=D120,D120&lt;=100,OR(E120="Manual → LegalTriage",E120="LegalTriage → Manual"),F120&lt;&gt;"",ISNUMBER(G120),G120&gt;0,H120="Correcta",J120="Correcta",L120="Sí",ISNUMBER(I120),ISNUMBER(K120),I120&gt;0,K120&gt;0,O120&lt;&gt;"",P120&lt;&gt;""),"Sí","")</f>
        <v/>
      </c>
    </row>
    <row r="121">
      <c r="A121" s="3" t="inlineStr"/>
      <c r="B121" s="3" t="inlineStr"/>
      <c r="C121" s="3" t="inlineStr"/>
      <c r="D121" s="3" t="inlineStr"/>
      <c r="E121" s="3" t="inlineStr"/>
      <c r="F121" s="3" t="inlineStr"/>
      <c r="G121" s="4" t="inlineStr"/>
      <c r="H121" s="3" t="inlineStr"/>
      <c r="I121" s="5" t="inlineStr"/>
      <c r="J121" s="3" t="inlineStr"/>
      <c r="K121" s="5" t="inlineStr"/>
      <c r="L121" s="3" t="inlineStr"/>
      <c r="M121" s="3" t="inlineStr"/>
      <c r="N121" s="3" t="inlineStr"/>
      <c r="O121" s="3" t="inlineStr"/>
      <c r="P121" s="3" t="inlineStr"/>
      <c r="Q121" s="6">
        <f>IF(S121="Sí",I121-K121,"")</f>
        <v/>
      </c>
      <c r="R121" s="7">
        <f>IF(S121="Sí",Q121/I121,"")</f>
        <v/>
      </c>
      <c r="S121" s="8">
        <f>IF(AND('Preparación'!$B$2&lt;&gt;"",'Preparación'!$B$3&lt;&gt;"",COUNTIF(CodigosCasos,B121)=1,COUNTIF(CodigosTareas,C121)=1,COUNTIFS($B$2:$B$201,B121,$C$2:$C$201,C121,$D$2:$D$201,D121)=1,ISNUMBER(D121),D121&gt;0,INT(D121)=D121,D121&lt;=100,OR(E121="Manual → LegalTriage",E121="LegalTriage → Manual"),F121&lt;&gt;"",ISNUMBER(G121),G121&gt;0,H121="Correcta",J121="Correcta",L121="Sí",ISNUMBER(I121),ISNUMBER(K121),I121&gt;0,K121&gt;0,O121&lt;&gt;"",P121&lt;&gt;""),"Sí","")</f>
        <v/>
      </c>
    </row>
    <row r="122">
      <c r="A122" s="3" t="inlineStr"/>
      <c r="B122" s="3" t="inlineStr"/>
      <c r="C122" s="3" t="inlineStr"/>
      <c r="D122" s="3" t="inlineStr"/>
      <c r="E122" s="3" t="inlineStr"/>
      <c r="F122" s="3" t="inlineStr"/>
      <c r="G122" s="4" t="inlineStr"/>
      <c r="H122" s="3" t="inlineStr"/>
      <c r="I122" s="5" t="inlineStr"/>
      <c r="J122" s="3" t="inlineStr"/>
      <c r="K122" s="5" t="inlineStr"/>
      <c r="L122" s="3" t="inlineStr"/>
      <c r="M122" s="3" t="inlineStr"/>
      <c r="N122" s="3" t="inlineStr"/>
      <c r="O122" s="3" t="inlineStr"/>
      <c r="P122" s="3" t="inlineStr"/>
      <c r="Q122" s="6">
        <f>IF(S122="Sí",I122-K122,"")</f>
        <v/>
      </c>
      <c r="R122" s="7">
        <f>IF(S122="Sí",Q122/I122,"")</f>
        <v/>
      </c>
      <c r="S122" s="8">
        <f>IF(AND('Preparación'!$B$2&lt;&gt;"",'Preparación'!$B$3&lt;&gt;"",COUNTIF(CodigosCasos,B122)=1,COUNTIF(CodigosTareas,C122)=1,COUNTIFS($B$2:$B$201,B122,$C$2:$C$201,C122,$D$2:$D$201,D122)=1,ISNUMBER(D122),D122&gt;0,INT(D122)=D122,D122&lt;=100,OR(E122="Manual → LegalTriage",E122="LegalTriage → Manual"),F122&lt;&gt;"",ISNUMBER(G122),G122&gt;0,H122="Correcta",J122="Correcta",L122="Sí",ISNUMBER(I122),ISNUMBER(K122),I122&gt;0,K122&gt;0,O122&lt;&gt;"",P122&lt;&gt;""),"Sí","")</f>
        <v/>
      </c>
    </row>
    <row r="123">
      <c r="A123" s="3" t="inlineStr"/>
      <c r="B123" s="3" t="inlineStr"/>
      <c r="C123" s="3" t="inlineStr"/>
      <c r="D123" s="3" t="inlineStr"/>
      <c r="E123" s="3" t="inlineStr"/>
      <c r="F123" s="3" t="inlineStr"/>
      <c r="G123" s="4" t="inlineStr"/>
      <c r="H123" s="3" t="inlineStr"/>
      <c r="I123" s="5" t="inlineStr"/>
      <c r="J123" s="3" t="inlineStr"/>
      <c r="K123" s="5" t="inlineStr"/>
      <c r="L123" s="3" t="inlineStr"/>
      <c r="M123" s="3" t="inlineStr"/>
      <c r="N123" s="3" t="inlineStr"/>
      <c r="O123" s="3" t="inlineStr"/>
      <c r="P123" s="3" t="inlineStr"/>
      <c r="Q123" s="6">
        <f>IF(S123="Sí",I123-K123,"")</f>
        <v/>
      </c>
      <c r="R123" s="7">
        <f>IF(S123="Sí",Q123/I123,"")</f>
        <v/>
      </c>
      <c r="S123" s="8">
        <f>IF(AND('Preparación'!$B$2&lt;&gt;"",'Preparación'!$B$3&lt;&gt;"",COUNTIF(CodigosCasos,B123)=1,COUNTIF(CodigosTareas,C123)=1,COUNTIFS($B$2:$B$201,B123,$C$2:$C$201,C123,$D$2:$D$201,D123)=1,ISNUMBER(D123),D123&gt;0,INT(D123)=D123,D123&lt;=100,OR(E123="Manual → LegalTriage",E123="LegalTriage → Manual"),F123&lt;&gt;"",ISNUMBER(G123),G123&gt;0,H123="Correcta",J123="Correcta",L123="Sí",ISNUMBER(I123),ISNUMBER(K123),I123&gt;0,K123&gt;0,O123&lt;&gt;"",P123&lt;&gt;""),"Sí","")</f>
        <v/>
      </c>
    </row>
    <row r="124">
      <c r="A124" s="3" t="inlineStr"/>
      <c r="B124" s="3" t="inlineStr"/>
      <c r="C124" s="3" t="inlineStr"/>
      <c r="D124" s="3" t="inlineStr"/>
      <c r="E124" s="3" t="inlineStr"/>
      <c r="F124" s="3" t="inlineStr"/>
      <c r="G124" s="4" t="inlineStr"/>
      <c r="H124" s="3" t="inlineStr"/>
      <c r="I124" s="5" t="inlineStr"/>
      <c r="J124" s="3" t="inlineStr"/>
      <c r="K124" s="5" t="inlineStr"/>
      <c r="L124" s="3" t="inlineStr"/>
      <c r="M124" s="3" t="inlineStr"/>
      <c r="N124" s="3" t="inlineStr"/>
      <c r="O124" s="3" t="inlineStr"/>
      <c r="P124" s="3" t="inlineStr"/>
      <c r="Q124" s="6">
        <f>IF(S124="Sí",I124-K124,"")</f>
        <v/>
      </c>
      <c r="R124" s="7">
        <f>IF(S124="Sí",Q124/I124,"")</f>
        <v/>
      </c>
      <c r="S124" s="8">
        <f>IF(AND('Preparación'!$B$2&lt;&gt;"",'Preparación'!$B$3&lt;&gt;"",COUNTIF(CodigosCasos,B124)=1,COUNTIF(CodigosTareas,C124)=1,COUNTIFS($B$2:$B$201,B124,$C$2:$C$201,C124,$D$2:$D$201,D124)=1,ISNUMBER(D124),D124&gt;0,INT(D124)=D124,D124&lt;=100,OR(E124="Manual → LegalTriage",E124="LegalTriage → Manual"),F124&lt;&gt;"",ISNUMBER(G124),G124&gt;0,H124="Correcta",J124="Correcta",L124="Sí",ISNUMBER(I124),ISNUMBER(K124),I124&gt;0,K124&gt;0,O124&lt;&gt;"",P124&lt;&gt;""),"Sí","")</f>
        <v/>
      </c>
    </row>
    <row r="125">
      <c r="A125" s="3" t="inlineStr"/>
      <c r="B125" s="3" t="inlineStr"/>
      <c r="C125" s="3" t="inlineStr"/>
      <c r="D125" s="3" t="inlineStr"/>
      <c r="E125" s="3" t="inlineStr"/>
      <c r="F125" s="3" t="inlineStr"/>
      <c r="G125" s="4" t="inlineStr"/>
      <c r="H125" s="3" t="inlineStr"/>
      <c r="I125" s="5" t="inlineStr"/>
      <c r="J125" s="3" t="inlineStr"/>
      <c r="K125" s="5" t="inlineStr"/>
      <c r="L125" s="3" t="inlineStr"/>
      <c r="M125" s="3" t="inlineStr"/>
      <c r="N125" s="3" t="inlineStr"/>
      <c r="O125" s="3" t="inlineStr"/>
      <c r="P125" s="3" t="inlineStr"/>
      <c r="Q125" s="6">
        <f>IF(S125="Sí",I125-K125,"")</f>
        <v/>
      </c>
      <c r="R125" s="7">
        <f>IF(S125="Sí",Q125/I125,"")</f>
        <v/>
      </c>
      <c r="S125" s="8">
        <f>IF(AND('Preparación'!$B$2&lt;&gt;"",'Preparación'!$B$3&lt;&gt;"",COUNTIF(CodigosCasos,B125)=1,COUNTIF(CodigosTareas,C125)=1,COUNTIFS($B$2:$B$201,B125,$C$2:$C$201,C125,$D$2:$D$201,D125)=1,ISNUMBER(D125),D125&gt;0,INT(D125)=D125,D125&lt;=100,OR(E125="Manual → LegalTriage",E125="LegalTriage → Manual"),F125&lt;&gt;"",ISNUMBER(G125),G125&gt;0,H125="Correcta",J125="Correcta",L125="Sí",ISNUMBER(I125),ISNUMBER(K125),I125&gt;0,K125&gt;0,O125&lt;&gt;"",P125&lt;&gt;""),"Sí","")</f>
        <v/>
      </c>
    </row>
    <row r="126">
      <c r="A126" s="3" t="inlineStr"/>
      <c r="B126" s="3" t="inlineStr"/>
      <c r="C126" s="3" t="inlineStr"/>
      <c r="D126" s="3" t="inlineStr"/>
      <c r="E126" s="3" t="inlineStr"/>
      <c r="F126" s="3" t="inlineStr"/>
      <c r="G126" s="4" t="inlineStr"/>
      <c r="H126" s="3" t="inlineStr"/>
      <c r="I126" s="5" t="inlineStr"/>
      <c r="J126" s="3" t="inlineStr"/>
      <c r="K126" s="5" t="inlineStr"/>
      <c r="L126" s="3" t="inlineStr"/>
      <c r="M126" s="3" t="inlineStr"/>
      <c r="N126" s="3" t="inlineStr"/>
      <c r="O126" s="3" t="inlineStr"/>
      <c r="P126" s="3" t="inlineStr"/>
      <c r="Q126" s="6">
        <f>IF(S126="Sí",I126-K126,"")</f>
        <v/>
      </c>
      <c r="R126" s="7">
        <f>IF(S126="Sí",Q126/I126,"")</f>
        <v/>
      </c>
      <c r="S126" s="8">
        <f>IF(AND('Preparación'!$B$2&lt;&gt;"",'Preparación'!$B$3&lt;&gt;"",COUNTIF(CodigosCasos,B126)=1,COUNTIF(CodigosTareas,C126)=1,COUNTIFS($B$2:$B$201,B126,$C$2:$C$201,C126,$D$2:$D$201,D126)=1,ISNUMBER(D126),D126&gt;0,INT(D126)=D126,D126&lt;=100,OR(E126="Manual → LegalTriage",E126="LegalTriage → Manual"),F126&lt;&gt;"",ISNUMBER(G126),G126&gt;0,H126="Correcta",J126="Correcta",L126="Sí",ISNUMBER(I126),ISNUMBER(K126),I126&gt;0,K126&gt;0,O126&lt;&gt;"",P126&lt;&gt;""),"Sí","")</f>
        <v/>
      </c>
    </row>
    <row r="127">
      <c r="A127" s="3" t="inlineStr"/>
      <c r="B127" s="3" t="inlineStr"/>
      <c r="C127" s="3" t="inlineStr"/>
      <c r="D127" s="3" t="inlineStr"/>
      <c r="E127" s="3" t="inlineStr"/>
      <c r="F127" s="3" t="inlineStr"/>
      <c r="G127" s="4" t="inlineStr"/>
      <c r="H127" s="3" t="inlineStr"/>
      <c r="I127" s="5" t="inlineStr"/>
      <c r="J127" s="3" t="inlineStr"/>
      <c r="K127" s="5" t="inlineStr"/>
      <c r="L127" s="3" t="inlineStr"/>
      <c r="M127" s="3" t="inlineStr"/>
      <c r="N127" s="3" t="inlineStr"/>
      <c r="O127" s="3" t="inlineStr"/>
      <c r="P127" s="3" t="inlineStr"/>
      <c r="Q127" s="6">
        <f>IF(S127="Sí",I127-K127,"")</f>
        <v/>
      </c>
      <c r="R127" s="7">
        <f>IF(S127="Sí",Q127/I127,"")</f>
        <v/>
      </c>
      <c r="S127" s="8">
        <f>IF(AND('Preparación'!$B$2&lt;&gt;"",'Preparación'!$B$3&lt;&gt;"",COUNTIF(CodigosCasos,B127)=1,COUNTIF(CodigosTareas,C127)=1,COUNTIFS($B$2:$B$201,B127,$C$2:$C$201,C127,$D$2:$D$201,D127)=1,ISNUMBER(D127),D127&gt;0,INT(D127)=D127,D127&lt;=100,OR(E127="Manual → LegalTriage",E127="LegalTriage → Manual"),F127&lt;&gt;"",ISNUMBER(G127),G127&gt;0,H127="Correcta",J127="Correcta",L127="Sí",ISNUMBER(I127),ISNUMBER(K127),I127&gt;0,K127&gt;0,O127&lt;&gt;"",P127&lt;&gt;""),"Sí","")</f>
        <v/>
      </c>
    </row>
    <row r="128">
      <c r="A128" s="3" t="inlineStr"/>
      <c r="B128" s="3" t="inlineStr"/>
      <c r="C128" s="3" t="inlineStr"/>
      <c r="D128" s="3" t="inlineStr"/>
      <c r="E128" s="3" t="inlineStr"/>
      <c r="F128" s="3" t="inlineStr"/>
      <c r="G128" s="4" t="inlineStr"/>
      <c r="H128" s="3" t="inlineStr"/>
      <c r="I128" s="5" t="inlineStr"/>
      <c r="J128" s="3" t="inlineStr"/>
      <c r="K128" s="5" t="inlineStr"/>
      <c r="L128" s="3" t="inlineStr"/>
      <c r="M128" s="3" t="inlineStr"/>
      <c r="N128" s="3" t="inlineStr"/>
      <c r="O128" s="3" t="inlineStr"/>
      <c r="P128" s="3" t="inlineStr"/>
      <c r="Q128" s="6">
        <f>IF(S128="Sí",I128-K128,"")</f>
        <v/>
      </c>
      <c r="R128" s="7">
        <f>IF(S128="Sí",Q128/I128,"")</f>
        <v/>
      </c>
      <c r="S128" s="8">
        <f>IF(AND('Preparación'!$B$2&lt;&gt;"",'Preparación'!$B$3&lt;&gt;"",COUNTIF(CodigosCasos,B128)=1,COUNTIF(CodigosTareas,C128)=1,COUNTIFS($B$2:$B$201,B128,$C$2:$C$201,C128,$D$2:$D$201,D128)=1,ISNUMBER(D128),D128&gt;0,INT(D128)=D128,D128&lt;=100,OR(E128="Manual → LegalTriage",E128="LegalTriage → Manual"),F128&lt;&gt;"",ISNUMBER(G128),G128&gt;0,H128="Correcta",J128="Correcta",L128="Sí",ISNUMBER(I128),ISNUMBER(K128),I128&gt;0,K128&gt;0,O128&lt;&gt;"",P128&lt;&gt;""),"Sí","")</f>
        <v/>
      </c>
    </row>
    <row r="129">
      <c r="A129" s="3" t="inlineStr"/>
      <c r="B129" s="3" t="inlineStr"/>
      <c r="C129" s="3" t="inlineStr"/>
      <c r="D129" s="3" t="inlineStr"/>
      <c r="E129" s="3" t="inlineStr"/>
      <c r="F129" s="3" t="inlineStr"/>
      <c r="G129" s="4" t="inlineStr"/>
      <c r="H129" s="3" t="inlineStr"/>
      <c r="I129" s="5" t="inlineStr"/>
      <c r="J129" s="3" t="inlineStr"/>
      <c r="K129" s="5" t="inlineStr"/>
      <c r="L129" s="3" t="inlineStr"/>
      <c r="M129" s="3" t="inlineStr"/>
      <c r="N129" s="3" t="inlineStr"/>
      <c r="O129" s="3" t="inlineStr"/>
      <c r="P129" s="3" t="inlineStr"/>
      <c r="Q129" s="6">
        <f>IF(S129="Sí",I129-K129,"")</f>
        <v/>
      </c>
      <c r="R129" s="7">
        <f>IF(S129="Sí",Q129/I129,"")</f>
        <v/>
      </c>
      <c r="S129" s="8">
        <f>IF(AND('Preparación'!$B$2&lt;&gt;"",'Preparación'!$B$3&lt;&gt;"",COUNTIF(CodigosCasos,B129)=1,COUNTIF(CodigosTareas,C129)=1,COUNTIFS($B$2:$B$201,B129,$C$2:$C$201,C129,$D$2:$D$201,D129)=1,ISNUMBER(D129),D129&gt;0,INT(D129)=D129,D129&lt;=100,OR(E129="Manual → LegalTriage",E129="LegalTriage → Manual"),F129&lt;&gt;"",ISNUMBER(G129),G129&gt;0,H129="Correcta",J129="Correcta",L129="Sí",ISNUMBER(I129),ISNUMBER(K129),I129&gt;0,K129&gt;0,O129&lt;&gt;"",P129&lt;&gt;""),"Sí","")</f>
        <v/>
      </c>
    </row>
    <row r="130">
      <c r="A130" s="3" t="inlineStr"/>
      <c r="B130" s="3" t="inlineStr"/>
      <c r="C130" s="3" t="inlineStr"/>
      <c r="D130" s="3" t="inlineStr"/>
      <c r="E130" s="3" t="inlineStr"/>
      <c r="F130" s="3" t="inlineStr"/>
      <c r="G130" s="4" t="inlineStr"/>
      <c r="H130" s="3" t="inlineStr"/>
      <c r="I130" s="5" t="inlineStr"/>
      <c r="J130" s="3" t="inlineStr"/>
      <c r="K130" s="5" t="inlineStr"/>
      <c r="L130" s="3" t="inlineStr"/>
      <c r="M130" s="3" t="inlineStr"/>
      <c r="N130" s="3" t="inlineStr"/>
      <c r="O130" s="3" t="inlineStr"/>
      <c r="P130" s="3" t="inlineStr"/>
      <c r="Q130" s="6">
        <f>IF(S130="Sí",I130-K130,"")</f>
        <v/>
      </c>
      <c r="R130" s="7">
        <f>IF(S130="Sí",Q130/I130,"")</f>
        <v/>
      </c>
      <c r="S130" s="8">
        <f>IF(AND('Preparación'!$B$2&lt;&gt;"",'Preparación'!$B$3&lt;&gt;"",COUNTIF(CodigosCasos,B130)=1,COUNTIF(CodigosTareas,C130)=1,COUNTIFS($B$2:$B$201,B130,$C$2:$C$201,C130,$D$2:$D$201,D130)=1,ISNUMBER(D130),D130&gt;0,INT(D130)=D130,D130&lt;=100,OR(E130="Manual → LegalTriage",E130="LegalTriage → Manual"),F130&lt;&gt;"",ISNUMBER(G130),G130&gt;0,H130="Correcta",J130="Correcta",L130="Sí",ISNUMBER(I130),ISNUMBER(K130),I130&gt;0,K130&gt;0,O130&lt;&gt;"",P130&lt;&gt;""),"Sí","")</f>
        <v/>
      </c>
    </row>
    <row r="131">
      <c r="A131" s="3" t="inlineStr"/>
      <c r="B131" s="3" t="inlineStr"/>
      <c r="C131" s="3" t="inlineStr"/>
      <c r="D131" s="3" t="inlineStr"/>
      <c r="E131" s="3" t="inlineStr"/>
      <c r="F131" s="3" t="inlineStr"/>
      <c r="G131" s="4" t="inlineStr"/>
      <c r="H131" s="3" t="inlineStr"/>
      <c r="I131" s="5" t="inlineStr"/>
      <c r="J131" s="3" t="inlineStr"/>
      <c r="K131" s="5" t="inlineStr"/>
      <c r="L131" s="3" t="inlineStr"/>
      <c r="M131" s="3" t="inlineStr"/>
      <c r="N131" s="3" t="inlineStr"/>
      <c r="O131" s="3" t="inlineStr"/>
      <c r="P131" s="3" t="inlineStr"/>
      <c r="Q131" s="6">
        <f>IF(S131="Sí",I131-K131,"")</f>
        <v/>
      </c>
      <c r="R131" s="7">
        <f>IF(S131="Sí",Q131/I131,"")</f>
        <v/>
      </c>
      <c r="S131" s="8">
        <f>IF(AND('Preparación'!$B$2&lt;&gt;"",'Preparación'!$B$3&lt;&gt;"",COUNTIF(CodigosCasos,B131)=1,COUNTIF(CodigosTareas,C131)=1,COUNTIFS($B$2:$B$201,B131,$C$2:$C$201,C131,$D$2:$D$201,D131)=1,ISNUMBER(D131),D131&gt;0,INT(D131)=D131,D131&lt;=100,OR(E131="Manual → LegalTriage",E131="LegalTriage → Manual"),F131&lt;&gt;"",ISNUMBER(G131),G131&gt;0,H131="Correcta",J131="Correcta",L131="Sí",ISNUMBER(I131),ISNUMBER(K131),I131&gt;0,K131&gt;0,O131&lt;&gt;"",P131&lt;&gt;""),"Sí","")</f>
        <v/>
      </c>
    </row>
    <row r="132">
      <c r="A132" s="3" t="inlineStr"/>
      <c r="B132" s="3" t="inlineStr"/>
      <c r="C132" s="3" t="inlineStr"/>
      <c r="D132" s="3" t="inlineStr"/>
      <c r="E132" s="3" t="inlineStr"/>
      <c r="F132" s="3" t="inlineStr"/>
      <c r="G132" s="4" t="inlineStr"/>
      <c r="H132" s="3" t="inlineStr"/>
      <c r="I132" s="5" t="inlineStr"/>
      <c r="J132" s="3" t="inlineStr"/>
      <c r="K132" s="5" t="inlineStr"/>
      <c r="L132" s="3" t="inlineStr"/>
      <c r="M132" s="3" t="inlineStr"/>
      <c r="N132" s="3" t="inlineStr"/>
      <c r="O132" s="3" t="inlineStr"/>
      <c r="P132" s="3" t="inlineStr"/>
      <c r="Q132" s="6">
        <f>IF(S132="Sí",I132-K132,"")</f>
        <v/>
      </c>
      <c r="R132" s="7">
        <f>IF(S132="Sí",Q132/I132,"")</f>
        <v/>
      </c>
      <c r="S132" s="8">
        <f>IF(AND('Preparación'!$B$2&lt;&gt;"",'Preparación'!$B$3&lt;&gt;"",COUNTIF(CodigosCasos,B132)=1,COUNTIF(CodigosTareas,C132)=1,COUNTIFS($B$2:$B$201,B132,$C$2:$C$201,C132,$D$2:$D$201,D132)=1,ISNUMBER(D132),D132&gt;0,INT(D132)=D132,D132&lt;=100,OR(E132="Manual → LegalTriage",E132="LegalTriage → Manual"),F132&lt;&gt;"",ISNUMBER(G132),G132&gt;0,H132="Correcta",J132="Correcta",L132="Sí",ISNUMBER(I132),ISNUMBER(K132),I132&gt;0,K132&gt;0,O132&lt;&gt;"",P132&lt;&gt;""),"Sí","")</f>
        <v/>
      </c>
    </row>
    <row r="133">
      <c r="A133" s="3" t="inlineStr"/>
      <c r="B133" s="3" t="inlineStr"/>
      <c r="C133" s="3" t="inlineStr"/>
      <c r="D133" s="3" t="inlineStr"/>
      <c r="E133" s="3" t="inlineStr"/>
      <c r="F133" s="3" t="inlineStr"/>
      <c r="G133" s="4" t="inlineStr"/>
      <c r="H133" s="3" t="inlineStr"/>
      <c r="I133" s="5" t="inlineStr"/>
      <c r="J133" s="3" t="inlineStr"/>
      <c r="K133" s="5" t="inlineStr"/>
      <c r="L133" s="3" t="inlineStr"/>
      <c r="M133" s="3" t="inlineStr"/>
      <c r="N133" s="3" t="inlineStr"/>
      <c r="O133" s="3" t="inlineStr"/>
      <c r="P133" s="3" t="inlineStr"/>
      <c r="Q133" s="6">
        <f>IF(S133="Sí",I133-K133,"")</f>
        <v/>
      </c>
      <c r="R133" s="7">
        <f>IF(S133="Sí",Q133/I133,"")</f>
        <v/>
      </c>
      <c r="S133" s="8">
        <f>IF(AND('Preparación'!$B$2&lt;&gt;"",'Preparación'!$B$3&lt;&gt;"",COUNTIF(CodigosCasos,B133)=1,COUNTIF(CodigosTareas,C133)=1,COUNTIFS($B$2:$B$201,B133,$C$2:$C$201,C133,$D$2:$D$201,D133)=1,ISNUMBER(D133),D133&gt;0,INT(D133)=D133,D133&lt;=100,OR(E133="Manual → LegalTriage",E133="LegalTriage → Manual"),F133&lt;&gt;"",ISNUMBER(G133),G133&gt;0,H133="Correcta",J133="Correcta",L133="Sí",ISNUMBER(I133),ISNUMBER(K133),I133&gt;0,K133&gt;0,O133&lt;&gt;"",P133&lt;&gt;""),"Sí","")</f>
        <v/>
      </c>
    </row>
    <row r="134">
      <c r="A134" s="3" t="inlineStr"/>
      <c r="B134" s="3" t="inlineStr"/>
      <c r="C134" s="3" t="inlineStr"/>
      <c r="D134" s="3" t="inlineStr"/>
      <c r="E134" s="3" t="inlineStr"/>
      <c r="F134" s="3" t="inlineStr"/>
      <c r="G134" s="4" t="inlineStr"/>
      <c r="H134" s="3" t="inlineStr"/>
      <c r="I134" s="5" t="inlineStr"/>
      <c r="J134" s="3" t="inlineStr"/>
      <c r="K134" s="5" t="inlineStr"/>
      <c r="L134" s="3" t="inlineStr"/>
      <c r="M134" s="3" t="inlineStr"/>
      <c r="N134" s="3" t="inlineStr"/>
      <c r="O134" s="3" t="inlineStr"/>
      <c r="P134" s="3" t="inlineStr"/>
      <c r="Q134" s="6">
        <f>IF(S134="Sí",I134-K134,"")</f>
        <v/>
      </c>
      <c r="R134" s="7">
        <f>IF(S134="Sí",Q134/I134,"")</f>
        <v/>
      </c>
      <c r="S134" s="8">
        <f>IF(AND('Preparación'!$B$2&lt;&gt;"",'Preparación'!$B$3&lt;&gt;"",COUNTIF(CodigosCasos,B134)=1,COUNTIF(CodigosTareas,C134)=1,COUNTIFS($B$2:$B$201,B134,$C$2:$C$201,C134,$D$2:$D$201,D134)=1,ISNUMBER(D134),D134&gt;0,INT(D134)=D134,D134&lt;=100,OR(E134="Manual → LegalTriage",E134="LegalTriage → Manual"),F134&lt;&gt;"",ISNUMBER(G134),G134&gt;0,H134="Correcta",J134="Correcta",L134="Sí",ISNUMBER(I134),ISNUMBER(K134),I134&gt;0,K134&gt;0,O134&lt;&gt;"",P134&lt;&gt;""),"Sí","")</f>
        <v/>
      </c>
    </row>
    <row r="135">
      <c r="A135" s="3" t="inlineStr"/>
      <c r="B135" s="3" t="inlineStr"/>
      <c r="C135" s="3" t="inlineStr"/>
      <c r="D135" s="3" t="inlineStr"/>
      <c r="E135" s="3" t="inlineStr"/>
      <c r="F135" s="3" t="inlineStr"/>
      <c r="G135" s="4" t="inlineStr"/>
      <c r="H135" s="3" t="inlineStr"/>
      <c r="I135" s="5" t="inlineStr"/>
      <c r="J135" s="3" t="inlineStr"/>
      <c r="K135" s="5" t="inlineStr"/>
      <c r="L135" s="3" t="inlineStr"/>
      <c r="M135" s="3" t="inlineStr"/>
      <c r="N135" s="3" t="inlineStr"/>
      <c r="O135" s="3" t="inlineStr"/>
      <c r="P135" s="3" t="inlineStr"/>
      <c r="Q135" s="6">
        <f>IF(S135="Sí",I135-K135,"")</f>
        <v/>
      </c>
      <c r="R135" s="7">
        <f>IF(S135="Sí",Q135/I135,"")</f>
        <v/>
      </c>
      <c r="S135" s="8">
        <f>IF(AND('Preparación'!$B$2&lt;&gt;"",'Preparación'!$B$3&lt;&gt;"",COUNTIF(CodigosCasos,B135)=1,COUNTIF(CodigosTareas,C135)=1,COUNTIFS($B$2:$B$201,B135,$C$2:$C$201,C135,$D$2:$D$201,D135)=1,ISNUMBER(D135),D135&gt;0,INT(D135)=D135,D135&lt;=100,OR(E135="Manual → LegalTriage",E135="LegalTriage → Manual"),F135&lt;&gt;"",ISNUMBER(G135),G135&gt;0,H135="Correcta",J135="Correcta",L135="Sí",ISNUMBER(I135),ISNUMBER(K135),I135&gt;0,K135&gt;0,O135&lt;&gt;"",P135&lt;&gt;""),"Sí","")</f>
        <v/>
      </c>
    </row>
    <row r="136">
      <c r="A136" s="3" t="inlineStr"/>
      <c r="B136" s="3" t="inlineStr"/>
      <c r="C136" s="3" t="inlineStr"/>
      <c r="D136" s="3" t="inlineStr"/>
      <c r="E136" s="3" t="inlineStr"/>
      <c r="F136" s="3" t="inlineStr"/>
      <c r="G136" s="4" t="inlineStr"/>
      <c r="H136" s="3" t="inlineStr"/>
      <c r="I136" s="5" t="inlineStr"/>
      <c r="J136" s="3" t="inlineStr"/>
      <c r="K136" s="5" t="inlineStr"/>
      <c r="L136" s="3" t="inlineStr"/>
      <c r="M136" s="3" t="inlineStr"/>
      <c r="N136" s="3" t="inlineStr"/>
      <c r="O136" s="3" t="inlineStr"/>
      <c r="P136" s="3" t="inlineStr"/>
      <c r="Q136" s="6">
        <f>IF(S136="Sí",I136-K136,"")</f>
        <v/>
      </c>
      <c r="R136" s="7">
        <f>IF(S136="Sí",Q136/I136,"")</f>
        <v/>
      </c>
      <c r="S136" s="8">
        <f>IF(AND('Preparación'!$B$2&lt;&gt;"",'Preparación'!$B$3&lt;&gt;"",COUNTIF(CodigosCasos,B136)=1,COUNTIF(CodigosTareas,C136)=1,COUNTIFS($B$2:$B$201,B136,$C$2:$C$201,C136,$D$2:$D$201,D136)=1,ISNUMBER(D136),D136&gt;0,INT(D136)=D136,D136&lt;=100,OR(E136="Manual → LegalTriage",E136="LegalTriage → Manual"),F136&lt;&gt;"",ISNUMBER(G136),G136&gt;0,H136="Correcta",J136="Correcta",L136="Sí",ISNUMBER(I136),ISNUMBER(K136),I136&gt;0,K136&gt;0,O136&lt;&gt;"",P136&lt;&gt;""),"Sí","")</f>
        <v/>
      </c>
    </row>
    <row r="137">
      <c r="A137" s="3" t="inlineStr"/>
      <c r="B137" s="3" t="inlineStr"/>
      <c r="C137" s="3" t="inlineStr"/>
      <c r="D137" s="3" t="inlineStr"/>
      <c r="E137" s="3" t="inlineStr"/>
      <c r="F137" s="3" t="inlineStr"/>
      <c r="G137" s="4" t="inlineStr"/>
      <c r="H137" s="3" t="inlineStr"/>
      <c r="I137" s="5" t="inlineStr"/>
      <c r="J137" s="3" t="inlineStr"/>
      <c r="K137" s="5" t="inlineStr"/>
      <c r="L137" s="3" t="inlineStr"/>
      <c r="M137" s="3" t="inlineStr"/>
      <c r="N137" s="3" t="inlineStr"/>
      <c r="O137" s="3" t="inlineStr"/>
      <c r="P137" s="3" t="inlineStr"/>
      <c r="Q137" s="6">
        <f>IF(S137="Sí",I137-K137,"")</f>
        <v/>
      </c>
      <c r="R137" s="7">
        <f>IF(S137="Sí",Q137/I137,"")</f>
        <v/>
      </c>
      <c r="S137" s="8">
        <f>IF(AND('Preparación'!$B$2&lt;&gt;"",'Preparación'!$B$3&lt;&gt;"",COUNTIF(CodigosCasos,B137)=1,COUNTIF(CodigosTareas,C137)=1,COUNTIFS($B$2:$B$201,B137,$C$2:$C$201,C137,$D$2:$D$201,D137)=1,ISNUMBER(D137),D137&gt;0,INT(D137)=D137,D137&lt;=100,OR(E137="Manual → LegalTriage",E137="LegalTriage → Manual"),F137&lt;&gt;"",ISNUMBER(G137),G137&gt;0,H137="Correcta",J137="Correcta",L137="Sí",ISNUMBER(I137),ISNUMBER(K137),I137&gt;0,K137&gt;0,O137&lt;&gt;"",P137&lt;&gt;""),"Sí","")</f>
        <v/>
      </c>
    </row>
    <row r="138">
      <c r="A138" s="3" t="inlineStr"/>
      <c r="B138" s="3" t="inlineStr"/>
      <c r="C138" s="3" t="inlineStr"/>
      <c r="D138" s="3" t="inlineStr"/>
      <c r="E138" s="3" t="inlineStr"/>
      <c r="F138" s="3" t="inlineStr"/>
      <c r="G138" s="4" t="inlineStr"/>
      <c r="H138" s="3" t="inlineStr"/>
      <c r="I138" s="5" t="inlineStr"/>
      <c r="J138" s="3" t="inlineStr"/>
      <c r="K138" s="5" t="inlineStr"/>
      <c r="L138" s="3" t="inlineStr"/>
      <c r="M138" s="3" t="inlineStr"/>
      <c r="N138" s="3" t="inlineStr"/>
      <c r="O138" s="3" t="inlineStr"/>
      <c r="P138" s="3" t="inlineStr"/>
      <c r="Q138" s="6">
        <f>IF(S138="Sí",I138-K138,"")</f>
        <v/>
      </c>
      <c r="R138" s="7">
        <f>IF(S138="Sí",Q138/I138,"")</f>
        <v/>
      </c>
      <c r="S138" s="8">
        <f>IF(AND('Preparación'!$B$2&lt;&gt;"",'Preparación'!$B$3&lt;&gt;"",COUNTIF(CodigosCasos,B138)=1,COUNTIF(CodigosTareas,C138)=1,COUNTIFS($B$2:$B$201,B138,$C$2:$C$201,C138,$D$2:$D$201,D138)=1,ISNUMBER(D138),D138&gt;0,INT(D138)=D138,D138&lt;=100,OR(E138="Manual → LegalTriage",E138="LegalTriage → Manual"),F138&lt;&gt;"",ISNUMBER(G138),G138&gt;0,H138="Correcta",J138="Correcta",L138="Sí",ISNUMBER(I138),ISNUMBER(K138),I138&gt;0,K138&gt;0,O138&lt;&gt;"",P138&lt;&gt;""),"Sí","")</f>
        <v/>
      </c>
    </row>
    <row r="139">
      <c r="A139" s="3" t="inlineStr"/>
      <c r="B139" s="3" t="inlineStr"/>
      <c r="C139" s="3" t="inlineStr"/>
      <c r="D139" s="3" t="inlineStr"/>
      <c r="E139" s="3" t="inlineStr"/>
      <c r="F139" s="3" t="inlineStr"/>
      <c r="G139" s="4" t="inlineStr"/>
      <c r="H139" s="3" t="inlineStr"/>
      <c r="I139" s="5" t="inlineStr"/>
      <c r="J139" s="3" t="inlineStr"/>
      <c r="K139" s="5" t="inlineStr"/>
      <c r="L139" s="3" t="inlineStr"/>
      <c r="M139" s="3" t="inlineStr"/>
      <c r="N139" s="3" t="inlineStr"/>
      <c r="O139" s="3" t="inlineStr"/>
      <c r="P139" s="3" t="inlineStr"/>
      <c r="Q139" s="6">
        <f>IF(S139="Sí",I139-K139,"")</f>
        <v/>
      </c>
      <c r="R139" s="7">
        <f>IF(S139="Sí",Q139/I139,"")</f>
        <v/>
      </c>
      <c r="S139" s="8">
        <f>IF(AND('Preparación'!$B$2&lt;&gt;"",'Preparación'!$B$3&lt;&gt;"",COUNTIF(CodigosCasos,B139)=1,COUNTIF(CodigosTareas,C139)=1,COUNTIFS($B$2:$B$201,B139,$C$2:$C$201,C139,$D$2:$D$201,D139)=1,ISNUMBER(D139),D139&gt;0,INT(D139)=D139,D139&lt;=100,OR(E139="Manual → LegalTriage",E139="LegalTriage → Manual"),F139&lt;&gt;"",ISNUMBER(G139),G139&gt;0,H139="Correcta",J139="Correcta",L139="Sí",ISNUMBER(I139),ISNUMBER(K139),I139&gt;0,K139&gt;0,O139&lt;&gt;"",P139&lt;&gt;""),"Sí","")</f>
        <v/>
      </c>
    </row>
    <row r="140">
      <c r="A140" s="3" t="inlineStr"/>
      <c r="B140" s="3" t="inlineStr"/>
      <c r="C140" s="3" t="inlineStr"/>
      <c r="D140" s="3" t="inlineStr"/>
      <c r="E140" s="3" t="inlineStr"/>
      <c r="F140" s="3" t="inlineStr"/>
      <c r="G140" s="4" t="inlineStr"/>
      <c r="H140" s="3" t="inlineStr"/>
      <c r="I140" s="5" t="inlineStr"/>
      <c r="J140" s="3" t="inlineStr"/>
      <c r="K140" s="5" t="inlineStr"/>
      <c r="L140" s="3" t="inlineStr"/>
      <c r="M140" s="3" t="inlineStr"/>
      <c r="N140" s="3" t="inlineStr"/>
      <c r="O140" s="3" t="inlineStr"/>
      <c r="P140" s="3" t="inlineStr"/>
      <c r="Q140" s="6">
        <f>IF(S140="Sí",I140-K140,"")</f>
        <v/>
      </c>
      <c r="R140" s="7">
        <f>IF(S140="Sí",Q140/I140,"")</f>
        <v/>
      </c>
      <c r="S140" s="8">
        <f>IF(AND('Preparación'!$B$2&lt;&gt;"",'Preparación'!$B$3&lt;&gt;"",COUNTIF(CodigosCasos,B140)=1,COUNTIF(CodigosTareas,C140)=1,COUNTIFS($B$2:$B$201,B140,$C$2:$C$201,C140,$D$2:$D$201,D140)=1,ISNUMBER(D140),D140&gt;0,INT(D140)=D140,D140&lt;=100,OR(E140="Manual → LegalTriage",E140="LegalTriage → Manual"),F140&lt;&gt;"",ISNUMBER(G140),G140&gt;0,H140="Correcta",J140="Correcta",L140="Sí",ISNUMBER(I140),ISNUMBER(K140),I140&gt;0,K140&gt;0,O140&lt;&gt;"",P140&lt;&gt;""),"Sí","")</f>
        <v/>
      </c>
    </row>
    <row r="141">
      <c r="A141" s="3" t="inlineStr"/>
      <c r="B141" s="3" t="inlineStr"/>
      <c r="C141" s="3" t="inlineStr"/>
      <c r="D141" s="3" t="inlineStr"/>
      <c r="E141" s="3" t="inlineStr"/>
      <c r="F141" s="3" t="inlineStr"/>
      <c r="G141" s="4" t="inlineStr"/>
      <c r="H141" s="3" t="inlineStr"/>
      <c r="I141" s="5" t="inlineStr"/>
      <c r="J141" s="3" t="inlineStr"/>
      <c r="K141" s="5" t="inlineStr"/>
      <c r="L141" s="3" t="inlineStr"/>
      <c r="M141" s="3" t="inlineStr"/>
      <c r="N141" s="3" t="inlineStr"/>
      <c r="O141" s="3" t="inlineStr"/>
      <c r="P141" s="3" t="inlineStr"/>
      <c r="Q141" s="6">
        <f>IF(S141="Sí",I141-K141,"")</f>
        <v/>
      </c>
      <c r="R141" s="7">
        <f>IF(S141="Sí",Q141/I141,"")</f>
        <v/>
      </c>
      <c r="S141" s="8">
        <f>IF(AND('Preparación'!$B$2&lt;&gt;"",'Preparación'!$B$3&lt;&gt;"",COUNTIF(CodigosCasos,B141)=1,COUNTIF(CodigosTareas,C141)=1,COUNTIFS($B$2:$B$201,B141,$C$2:$C$201,C141,$D$2:$D$201,D141)=1,ISNUMBER(D141),D141&gt;0,INT(D141)=D141,D141&lt;=100,OR(E141="Manual → LegalTriage",E141="LegalTriage → Manual"),F141&lt;&gt;"",ISNUMBER(G141),G141&gt;0,H141="Correcta",J141="Correcta",L141="Sí",ISNUMBER(I141),ISNUMBER(K141),I141&gt;0,K141&gt;0,O141&lt;&gt;"",P141&lt;&gt;""),"Sí","")</f>
        <v/>
      </c>
    </row>
    <row r="142">
      <c r="A142" s="3" t="inlineStr"/>
      <c r="B142" s="3" t="inlineStr"/>
      <c r="C142" s="3" t="inlineStr"/>
      <c r="D142" s="3" t="inlineStr"/>
      <c r="E142" s="3" t="inlineStr"/>
      <c r="F142" s="3" t="inlineStr"/>
      <c r="G142" s="4" t="inlineStr"/>
      <c r="H142" s="3" t="inlineStr"/>
      <c r="I142" s="5" t="inlineStr"/>
      <c r="J142" s="3" t="inlineStr"/>
      <c r="K142" s="5" t="inlineStr"/>
      <c r="L142" s="3" t="inlineStr"/>
      <c r="M142" s="3" t="inlineStr"/>
      <c r="N142" s="3" t="inlineStr"/>
      <c r="O142" s="3" t="inlineStr"/>
      <c r="P142" s="3" t="inlineStr"/>
      <c r="Q142" s="6">
        <f>IF(S142="Sí",I142-K142,"")</f>
        <v/>
      </c>
      <c r="R142" s="7">
        <f>IF(S142="Sí",Q142/I142,"")</f>
        <v/>
      </c>
      <c r="S142" s="8">
        <f>IF(AND('Preparación'!$B$2&lt;&gt;"",'Preparación'!$B$3&lt;&gt;"",COUNTIF(CodigosCasos,B142)=1,COUNTIF(CodigosTareas,C142)=1,COUNTIFS($B$2:$B$201,B142,$C$2:$C$201,C142,$D$2:$D$201,D142)=1,ISNUMBER(D142),D142&gt;0,INT(D142)=D142,D142&lt;=100,OR(E142="Manual → LegalTriage",E142="LegalTriage → Manual"),F142&lt;&gt;"",ISNUMBER(G142),G142&gt;0,H142="Correcta",J142="Correcta",L142="Sí",ISNUMBER(I142),ISNUMBER(K142),I142&gt;0,K142&gt;0,O142&lt;&gt;"",P142&lt;&gt;""),"Sí","")</f>
        <v/>
      </c>
    </row>
    <row r="143">
      <c r="A143" s="3" t="inlineStr"/>
      <c r="B143" s="3" t="inlineStr"/>
      <c r="C143" s="3" t="inlineStr"/>
      <c r="D143" s="3" t="inlineStr"/>
      <c r="E143" s="3" t="inlineStr"/>
      <c r="F143" s="3" t="inlineStr"/>
      <c r="G143" s="4" t="inlineStr"/>
      <c r="H143" s="3" t="inlineStr"/>
      <c r="I143" s="5" t="inlineStr"/>
      <c r="J143" s="3" t="inlineStr"/>
      <c r="K143" s="5" t="inlineStr"/>
      <c r="L143" s="3" t="inlineStr"/>
      <c r="M143" s="3" t="inlineStr"/>
      <c r="N143" s="3" t="inlineStr"/>
      <c r="O143" s="3" t="inlineStr"/>
      <c r="P143" s="3" t="inlineStr"/>
      <c r="Q143" s="6">
        <f>IF(S143="Sí",I143-K143,"")</f>
        <v/>
      </c>
      <c r="R143" s="7">
        <f>IF(S143="Sí",Q143/I143,"")</f>
        <v/>
      </c>
      <c r="S143" s="8">
        <f>IF(AND('Preparación'!$B$2&lt;&gt;"",'Preparación'!$B$3&lt;&gt;"",COUNTIF(CodigosCasos,B143)=1,COUNTIF(CodigosTareas,C143)=1,COUNTIFS($B$2:$B$201,B143,$C$2:$C$201,C143,$D$2:$D$201,D143)=1,ISNUMBER(D143),D143&gt;0,INT(D143)=D143,D143&lt;=100,OR(E143="Manual → LegalTriage",E143="LegalTriage → Manual"),F143&lt;&gt;"",ISNUMBER(G143),G143&gt;0,H143="Correcta",J143="Correcta",L143="Sí",ISNUMBER(I143),ISNUMBER(K143),I143&gt;0,K143&gt;0,O143&lt;&gt;"",P143&lt;&gt;""),"Sí","")</f>
        <v/>
      </c>
    </row>
    <row r="144">
      <c r="A144" s="3" t="inlineStr"/>
      <c r="B144" s="3" t="inlineStr"/>
      <c r="C144" s="3" t="inlineStr"/>
      <c r="D144" s="3" t="inlineStr"/>
      <c r="E144" s="3" t="inlineStr"/>
      <c r="F144" s="3" t="inlineStr"/>
      <c r="G144" s="4" t="inlineStr"/>
      <c r="H144" s="3" t="inlineStr"/>
      <c r="I144" s="5" t="inlineStr"/>
      <c r="J144" s="3" t="inlineStr"/>
      <c r="K144" s="5" t="inlineStr"/>
      <c r="L144" s="3" t="inlineStr"/>
      <c r="M144" s="3" t="inlineStr"/>
      <c r="N144" s="3" t="inlineStr"/>
      <c r="O144" s="3" t="inlineStr"/>
      <c r="P144" s="3" t="inlineStr"/>
      <c r="Q144" s="6">
        <f>IF(S144="Sí",I144-K144,"")</f>
        <v/>
      </c>
      <c r="R144" s="7">
        <f>IF(S144="Sí",Q144/I144,"")</f>
        <v/>
      </c>
      <c r="S144" s="8">
        <f>IF(AND('Preparación'!$B$2&lt;&gt;"",'Preparación'!$B$3&lt;&gt;"",COUNTIF(CodigosCasos,B144)=1,COUNTIF(CodigosTareas,C144)=1,COUNTIFS($B$2:$B$201,B144,$C$2:$C$201,C144,$D$2:$D$201,D144)=1,ISNUMBER(D144),D144&gt;0,INT(D144)=D144,D144&lt;=100,OR(E144="Manual → LegalTriage",E144="LegalTriage → Manual"),F144&lt;&gt;"",ISNUMBER(G144),G144&gt;0,H144="Correcta",J144="Correcta",L144="Sí",ISNUMBER(I144),ISNUMBER(K144),I144&gt;0,K144&gt;0,O144&lt;&gt;"",P144&lt;&gt;""),"Sí","")</f>
        <v/>
      </c>
    </row>
    <row r="145">
      <c r="A145" s="3" t="inlineStr"/>
      <c r="B145" s="3" t="inlineStr"/>
      <c r="C145" s="3" t="inlineStr"/>
      <c r="D145" s="3" t="inlineStr"/>
      <c r="E145" s="3" t="inlineStr"/>
      <c r="F145" s="3" t="inlineStr"/>
      <c r="G145" s="4" t="inlineStr"/>
      <c r="H145" s="3" t="inlineStr"/>
      <c r="I145" s="5" t="inlineStr"/>
      <c r="J145" s="3" t="inlineStr"/>
      <c r="K145" s="5" t="inlineStr"/>
      <c r="L145" s="3" t="inlineStr"/>
      <c r="M145" s="3" t="inlineStr"/>
      <c r="N145" s="3" t="inlineStr"/>
      <c r="O145" s="3" t="inlineStr"/>
      <c r="P145" s="3" t="inlineStr"/>
      <c r="Q145" s="6">
        <f>IF(S145="Sí",I145-K145,"")</f>
        <v/>
      </c>
      <c r="R145" s="7">
        <f>IF(S145="Sí",Q145/I145,"")</f>
        <v/>
      </c>
      <c r="S145" s="8">
        <f>IF(AND('Preparación'!$B$2&lt;&gt;"",'Preparación'!$B$3&lt;&gt;"",COUNTIF(CodigosCasos,B145)=1,COUNTIF(CodigosTareas,C145)=1,COUNTIFS($B$2:$B$201,B145,$C$2:$C$201,C145,$D$2:$D$201,D145)=1,ISNUMBER(D145),D145&gt;0,INT(D145)=D145,D145&lt;=100,OR(E145="Manual → LegalTriage",E145="LegalTriage → Manual"),F145&lt;&gt;"",ISNUMBER(G145),G145&gt;0,H145="Correcta",J145="Correcta",L145="Sí",ISNUMBER(I145),ISNUMBER(K145),I145&gt;0,K145&gt;0,O145&lt;&gt;"",P145&lt;&gt;""),"Sí","")</f>
        <v/>
      </c>
    </row>
    <row r="146">
      <c r="A146" s="3" t="inlineStr"/>
      <c r="B146" s="3" t="inlineStr"/>
      <c r="C146" s="3" t="inlineStr"/>
      <c r="D146" s="3" t="inlineStr"/>
      <c r="E146" s="3" t="inlineStr"/>
      <c r="F146" s="3" t="inlineStr"/>
      <c r="G146" s="4" t="inlineStr"/>
      <c r="H146" s="3" t="inlineStr"/>
      <c r="I146" s="5" t="inlineStr"/>
      <c r="J146" s="3" t="inlineStr"/>
      <c r="K146" s="5" t="inlineStr"/>
      <c r="L146" s="3" t="inlineStr"/>
      <c r="M146" s="3" t="inlineStr"/>
      <c r="N146" s="3" t="inlineStr"/>
      <c r="O146" s="3" t="inlineStr"/>
      <c r="P146" s="3" t="inlineStr"/>
      <c r="Q146" s="6">
        <f>IF(S146="Sí",I146-K146,"")</f>
        <v/>
      </c>
      <c r="R146" s="7">
        <f>IF(S146="Sí",Q146/I146,"")</f>
        <v/>
      </c>
      <c r="S146" s="8">
        <f>IF(AND('Preparación'!$B$2&lt;&gt;"",'Preparación'!$B$3&lt;&gt;"",COUNTIF(CodigosCasos,B146)=1,COUNTIF(CodigosTareas,C146)=1,COUNTIFS($B$2:$B$201,B146,$C$2:$C$201,C146,$D$2:$D$201,D146)=1,ISNUMBER(D146),D146&gt;0,INT(D146)=D146,D146&lt;=100,OR(E146="Manual → LegalTriage",E146="LegalTriage → Manual"),F146&lt;&gt;"",ISNUMBER(G146),G146&gt;0,H146="Correcta",J146="Correcta",L146="Sí",ISNUMBER(I146),ISNUMBER(K146),I146&gt;0,K146&gt;0,O146&lt;&gt;"",P146&lt;&gt;""),"Sí","")</f>
        <v/>
      </c>
    </row>
    <row r="147">
      <c r="A147" s="3" t="inlineStr"/>
      <c r="B147" s="3" t="inlineStr"/>
      <c r="C147" s="3" t="inlineStr"/>
      <c r="D147" s="3" t="inlineStr"/>
      <c r="E147" s="3" t="inlineStr"/>
      <c r="F147" s="3" t="inlineStr"/>
      <c r="G147" s="4" t="inlineStr"/>
      <c r="H147" s="3" t="inlineStr"/>
      <c r="I147" s="5" t="inlineStr"/>
      <c r="J147" s="3" t="inlineStr"/>
      <c r="K147" s="5" t="inlineStr"/>
      <c r="L147" s="3" t="inlineStr"/>
      <c r="M147" s="3" t="inlineStr"/>
      <c r="N147" s="3" t="inlineStr"/>
      <c r="O147" s="3" t="inlineStr"/>
      <c r="P147" s="3" t="inlineStr"/>
      <c r="Q147" s="6">
        <f>IF(S147="Sí",I147-K147,"")</f>
        <v/>
      </c>
      <c r="R147" s="7">
        <f>IF(S147="Sí",Q147/I147,"")</f>
        <v/>
      </c>
      <c r="S147" s="8">
        <f>IF(AND('Preparación'!$B$2&lt;&gt;"",'Preparación'!$B$3&lt;&gt;"",COUNTIF(CodigosCasos,B147)=1,COUNTIF(CodigosTareas,C147)=1,COUNTIFS($B$2:$B$201,B147,$C$2:$C$201,C147,$D$2:$D$201,D147)=1,ISNUMBER(D147),D147&gt;0,INT(D147)=D147,D147&lt;=100,OR(E147="Manual → LegalTriage",E147="LegalTriage → Manual"),F147&lt;&gt;"",ISNUMBER(G147),G147&gt;0,H147="Correcta",J147="Correcta",L147="Sí",ISNUMBER(I147),ISNUMBER(K147),I147&gt;0,K147&gt;0,O147&lt;&gt;"",P147&lt;&gt;""),"Sí","")</f>
        <v/>
      </c>
    </row>
    <row r="148">
      <c r="A148" s="3" t="inlineStr"/>
      <c r="B148" s="3" t="inlineStr"/>
      <c r="C148" s="3" t="inlineStr"/>
      <c r="D148" s="3" t="inlineStr"/>
      <c r="E148" s="3" t="inlineStr"/>
      <c r="F148" s="3" t="inlineStr"/>
      <c r="G148" s="4" t="inlineStr"/>
      <c r="H148" s="3" t="inlineStr"/>
      <c r="I148" s="5" t="inlineStr"/>
      <c r="J148" s="3" t="inlineStr"/>
      <c r="K148" s="5" t="inlineStr"/>
      <c r="L148" s="3" t="inlineStr"/>
      <c r="M148" s="3" t="inlineStr"/>
      <c r="N148" s="3" t="inlineStr"/>
      <c r="O148" s="3" t="inlineStr"/>
      <c r="P148" s="3" t="inlineStr"/>
      <c r="Q148" s="6">
        <f>IF(S148="Sí",I148-K148,"")</f>
        <v/>
      </c>
      <c r="R148" s="7">
        <f>IF(S148="Sí",Q148/I148,"")</f>
        <v/>
      </c>
      <c r="S148" s="8">
        <f>IF(AND('Preparación'!$B$2&lt;&gt;"",'Preparación'!$B$3&lt;&gt;"",COUNTIF(CodigosCasos,B148)=1,COUNTIF(CodigosTareas,C148)=1,COUNTIFS($B$2:$B$201,B148,$C$2:$C$201,C148,$D$2:$D$201,D148)=1,ISNUMBER(D148),D148&gt;0,INT(D148)=D148,D148&lt;=100,OR(E148="Manual → LegalTriage",E148="LegalTriage → Manual"),F148&lt;&gt;"",ISNUMBER(G148),G148&gt;0,H148="Correcta",J148="Correcta",L148="Sí",ISNUMBER(I148),ISNUMBER(K148),I148&gt;0,K148&gt;0,O148&lt;&gt;"",P148&lt;&gt;""),"Sí","")</f>
        <v/>
      </c>
    </row>
    <row r="149">
      <c r="A149" s="3" t="inlineStr"/>
      <c r="B149" s="3" t="inlineStr"/>
      <c r="C149" s="3" t="inlineStr"/>
      <c r="D149" s="3" t="inlineStr"/>
      <c r="E149" s="3" t="inlineStr"/>
      <c r="F149" s="3" t="inlineStr"/>
      <c r="G149" s="4" t="inlineStr"/>
      <c r="H149" s="3" t="inlineStr"/>
      <c r="I149" s="5" t="inlineStr"/>
      <c r="J149" s="3" t="inlineStr"/>
      <c r="K149" s="5" t="inlineStr"/>
      <c r="L149" s="3" t="inlineStr"/>
      <c r="M149" s="3" t="inlineStr"/>
      <c r="N149" s="3" t="inlineStr"/>
      <c r="O149" s="3" t="inlineStr"/>
      <c r="P149" s="3" t="inlineStr"/>
      <c r="Q149" s="6">
        <f>IF(S149="Sí",I149-K149,"")</f>
        <v/>
      </c>
      <c r="R149" s="7">
        <f>IF(S149="Sí",Q149/I149,"")</f>
        <v/>
      </c>
      <c r="S149" s="8">
        <f>IF(AND('Preparación'!$B$2&lt;&gt;"",'Preparación'!$B$3&lt;&gt;"",COUNTIF(CodigosCasos,B149)=1,COUNTIF(CodigosTareas,C149)=1,COUNTIFS($B$2:$B$201,B149,$C$2:$C$201,C149,$D$2:$D$201,D149)=1,ISNUMBER(D149),D149&gt;0,INT(D149)=D149,D149&lt;=100,OR(E149="Manual → LegalTriage",E149="LegalTriage → Manual"),F149&lt;&gt;"",ISNUMBER(G149),G149&gt;0,H149="Correcta",J149="Correcta",L149="Sí",ISNUMBER(I149),ISNUMBER(K149),I149&gt;0,K149&gt;0,O149&lt;&gt;"",P149&lt;&gt;""),"Sí","")</f>
        <v/>
      </c>
    </row>
    <row r="150">
      <c r="A150" s="3" t="inlineStr"/>
      <c r="B150" s="3" t="inlineStr"/>
      <c r="C150" s="3" t="inlineStr"/>
      <c r="D150" s="3" t="inlineStr"/>
      <c r="E150" s="3" t="inlineStr"/>
      <c r="F150" s="3" t="inlineStr"/>
      <c r="G150" s="4" t="inlineStr"/>
      <c r="H150" s="3" t="inlineStr"/>
      <c r="I150" s="5" t="inlineStr"/>
      <c r="J150" s="3" t="inlineStr"/>
      <c r="K150" s="5" t="inlineStr"/>
      <c r="L150" s="3" t="inlineStr"/>
      <c r="M150" s="3" t="inlineStr"/>
      <c r="N150" s="3" t="inlineStr"/>
      <c r="O150" s="3" t="inlineStr"/>
      <c r="P150" s="3" t="inlineStr"/>
      <c r="Q150" s="6">
        <f>IF(S150="Sí",I150-K150,"")</f>
        <v/>
      </c>
      <c r="R150" s="7">
        <f>IF(S150="Sí",Q150/I150,"")</f>
        <v/>
      </c>
      <c r="S150" s="8">
        <f>IF(AND('Preparación'!$B$2&lt;&gt;"",'Preparación'!$B$3&lt;&gt;"",COUNTIF(CodigosCasos,B150)=1,COUNTIF(CodigosTareas,C150)=1,COUNTIFS($B$2:$B$201,B150,$C$2:$C$201,C150,$D$2:$D$201,D150)=1,ISNUMBER(D150),D150&gt;0,INT(D150)=D150,D150&lt;=100,OR(E150="Manual → LegalTriage",E150="LegalTriage → Manual"),F150&lt;&gt;"",ISNUMBER(G150),G150&gt;0,H150="Correcta",J150="Correcta",L150="Sí",ISNUMBER(I150),ISNUMBER(K150),I150&gt;0,K150&gt;0,O150&lt;&gt;"",P150&lt;&gt;""),"Sí","")</f>
        <v/>
      </c>
    </row>
    <row r="151">
      <c r="A151" s="3" t="inlineStr"/>
      <c r="B151" s="3" t="inlineStr"/>
      <c r="C151" s="3" t="inlineStr"/>
      <c r="D151" s="3" t="inlineStr"/>
      <c r="E151" s="3" t="inlineStr"/>
      <c r="F151" s="3" t="inlineStr"/>
      <c r="G151" s="4" t="inlineStr"/>
      <c r="H151" s="3" t="inlineStr"/>
      <c r="I151" s="5" t="inlineStr"/>
      <c r="J151" s="3" t="inlineStr"/>
      <c r="K151" s="5" t="inlineStr"/>
      <c r="L151" s="3" t="inlineStr"/>
      <c r="M151" s="3" t="inlineStr"/>
      <c r="N151" s="3" t="inlineStr"/>
      <c r="O151" s="3" t="inlineStr"/>
      <c r="P151" s="3" t="inlineStr"/>
      <c r="Q151" s="6">
        <f>IF(S151="Sí",I151-K151,"")</f>
        <v/>
      </c>
      <c r="R151" s="7">
        <f>IF(S151="Sí",Q151/I151,"")</f>
        <v/>
      </c>
      <c r="S151" s="8">
        <f>IF(AND('Preparación'!$B$2&lt;&gt;"",'Preparación'!$B$3&lt;&gt;"",COUNTIF(CodigosCasos,B151)=1,COUNTIF(CodigosTareas,C151)=1,COUNTIFS($B$2:$B$201,B151,$C$2:$C$201,C151,$D$2:$D$201,D151)=1,ISNUMBER(D151),D151&gt;0,INT(D151)=D151,D151&lt;=100,OR(E151="Manual → LegalTriage",E151="LegalTriage → Manual"),F151&lt;&gt;"",ISNUMBER(G151),G151&gt;0,H151="Correcta",J151="Correcta",L151="Sí",ISNUMBER(I151),ISNUMBER(K151),I151&gt;0,K151&gt;0,O151&lt;&gt;"",P151&lt;&gt;""),"Sí","")</f>
        <v/>
      </c>
    </row>
    <row r="152">
      <c r="A152" s="3" t="inlineStr"/>
      <c r="B152" s="3" t="inlineStr"/>
      <c r="C152" s="3" t="inlineStr"/>
      <c r="D152" s="3" t="inlineStr"/>
      <c r="E152" s="3" t="inlineStr"/>
      <c r="F152" s="3" t="inlineStr"/>
      <c r="G152" s="4" t="inlineStr"/>
      <c r="H152" s="3" t="inlineStr"/>
      <c r="I152" s="5" t="inlineStr"/>
      <c r="J152" s="3" t="inlineStr"/>
      <c r="K152" s="5" t="inlineStr"/>
      <c r="L152" s="3" t="inlineStr"/>
      <c r="M152" s="3" t="inlineStr"/>
      <c r="N152" s="3" t="inlineStr"/>
      <c r="O152" s="3" t="inlineStr"/>
      <c r="P152" s="3" t="inlineStr"/>
      <c r="Q152" s="6">
        <f>IF(S152="Sí",I152-K152,"")</f>
        <v/>
      </c>
      <c r="R152" s="7">
        <f>IF(S152="Sí",Q152/I152,"")</f>
        <v/>
      </c>
      <c r="S152" s="8">
        <f>IF(AND('Preparación'!$B$2&lt;&gt;"",'Preparación'!$B$3&lt;&gt;"",COUNTIF(CodigosCasos,B152)=1,COUNTIF(CodigosTareas,C152)=1,COUNTIFS($B$2:$B$201,B152,$C$2:$C$201,C152,$D$2:$D$201,D152)=1,ISNUMBER(D152),D152&gt;0,INT(D152)=D152,D152&lt;=100,OR(E152="Manual → LegalTriage",E152="LegalTriage → Manual"),F152&lt;&gt;"",ISNUMBER(G152),G152&gt;0,H152="Correcta",J152="Correcta",L152="Sí",ISNUMBER(I152),ISNUMBER(K152),I152&gt;0,K152&gt;0,O152&lt;&gt;"",P152&lt;&gt;""),"Sí","")</f>
        <v/>
      </c>
    </row>
    <row r="153">
      <c r="A153" s="3" t="inlineStr"/>
      <c r="B153" s="3" t="inlineStr"/>
      <c r="C153" s="3" t="inlineStr"/>
      <c r="D153" s="3" t="inlineStr"/>
      <c r="E153" s="3" t="inlineStr"/>
      <c r="F153" s="3" t="inlineStr"/>
      <c r="G153" s="4" t="inlineStr"/>
      <c r="H153" s="3" t="inlineStr"/>
      <c r="I153" s="5" t="inlineStr"/>
      <c r="J153" s="3" t="inlineStr"/>
      <c r="K153" s="5" t="inlineStr"/>
      <c r="L153" s="3" t="inlineStr"/>
      <c r="M153" s="3" t="inlineStr"/>
      <c r="N153" s="3" t="inlineStr"/>
      <c r="O153" s="3" t="inlineStr"/>
      <c r="P153" s="3" t="inlineStr"/>
      <c r="Q153" s="6">
        <f>IF(S153="Sí",I153-K153,"")</f>
        <v/>
      </c>
      <c r="R153" s="7">
        <f>IF(S153="Sí",Q153/I153,"")</f>
        <v/>
      </c>
      <c r="S153" s="8">
        <f>IF(AND('Preparación'!$B$2&lt;&gt;"",'Preparación'!$B$3&lt;&gt;"",COUNTIF(CodigosCasos,B153)=1,COUNTIF(CodigosTareas,C153)=1,COUNTIFS($B$2:$B$201,B153,$C$2:$C$201,C153,$D$2:$D$201,D153)=1,ISNUMBER(D153),D153&gt;0,INT(D153)=D153,D153&lt;=100,OR(E153="Manual → LegalTriage",E153="LegalTriage → Manual"),F153&lt;&gt;"",ISNUMBER(G153),G153&gt;0,H153="Correcta",J153="Correcta",L153="Sí",ISNUMBER(I153),ISNUMBER(K153),I153&gt;0,K153&gt;0,O153&lt;&gt;"",P153&lt;&gt;""),"Sí","")</f>
        <v/>
      </c>
    </row>
    <row r="154">
      <c r="A154" s="3" t="inlineStr"/>
      <c r="B154" s="3" t="inlineStr"/>
      <c r="C154" s="3" t="inlineStr"/>
      <c r="D154" s="3" t="inlineStr"/>
      <c r="E154" s="3" t="inlineStr"/>
      <c r="F154" s="3" t="inlineStr"/>
      <c r="G154" s="4" t="inlineStr"/>
      <c r="H154" s="3" t="inlineStr"/>
      <c r="I154" s="5" t="inlineStr"/>
      <c r="J154" s="3" t="inlineStr"/>
      <c r="K154" s="5" t="inlineStr"/>
      <c r="L154" s="3" t="inlineStr"/>
      <c r="M154" s="3" t="inlineStr"/>
      <c r="N154" s="3" t="inlineStr"/>
      <c r="O154" s="3" t="inlineStr"/>
      <c r="P154" s="3" t="inlineStr"/>
      <c r="Q154" s="6">
        <f>IF(S154="Sí",I154-K154,"")</f>
        <v/>
      </c>
      <c r="R154" s="7">
        <f>IF(S154="Sí",Q154/I154,"")</f>
        <v/>
      </c>
      <c r="S154" s="8">
        <f>IF(AND('Preparación'!$B$2&lt;&gt;"",'Preparación'!$B$3&lt;&gt;"",COUNTIF(CodigosCasos,B154)=1,COUNTIF(CodigosTareas,C154)=1,COUNTIFS($B$2:$B$201,B154,$C$2:$C$201,C154,$D$2:$D$201,D154)=1,ISNUMBER(D154),D154&gt;0,INT(D154)=D154,D154&lt;=100,OR(E154="Manual → LegalTriage",E154="LegalTriage → Manual"),F154&lt;&gt;"",ISNUMBER(G154),G154&gt;0,H154="Correcta",J154="Correcta",L154="Sí",ISNUMBER(I154),ISNUMBER(K154),I154&gt;0,K154&gt;0,O154&lt;&gt;"",P154&lt;&gt;""),"Sí","")</f>
        <v/>
      </c>
    </row>
    <row r="155">
      <c r="A155" s="3" t="inlineStr"/>
      <c r="B155" s="3" t="inlineStr"/>
      <c r="C155" s="3" t="inlineStr"/>
      <c r="D155" s="3" t="inlineStr"/>
      <c r="E155" s="3" t="inlineStr"/>
      <c r="F155" s="3" t="inlineStr"/>
      <c r="G155" s="4" t="inlineStr"/>
      <c r="H155" s="3" t="inlineStr"/>
      <c r="I155" s="5" t="inlineStr"/>
      <c r="J155" s="3" t="inlineStr"/>
      <c r="K155" s="5" t="inlineStr"/>
      <c r="L155" s="3" t="inlineStr"/>
      <c r="M155" s="3" t="inlineStr"/>
      <c r="N155" s="3" t="inlineStr"/>
      <c r="O155" s="3" t="inlineStr"/>
      <c r="P155" s="3" t="inlineStr"/>
      <c r="Q155" s="6">
        <f>IF(S155="Sí",I155-K155,"")</f>
        <v/>
      </c>
      <c r="R155" s="7">
        <f>IF(S155="Sí",Q155/I155,"")</f>
        <v/>
      </c>
      <c r="S155" s="8">
        <f>IF(AND('Preparación'!$B$2&lt;&gt;"",'Preparación'!$B$3&lt;&gt;"",COUNTIF(CodigosCasos,B155)=1,COUNTIF(CodigosTareas,C155)=1,COUNTIFS($B$2:$B$201,B155,$C$2:$C$201,C155,$D$2:$D$201,D155)=1,ISNUMBER(D155),D155&gt;0,INT(D155)=D155,D155&lt;=100,OR(E155="Manual → LegalTriage",E155="LegalTriage → Manual"),F155&lt;&gt;"",ISNUMBER(G155),G155&gt;0,H155="Correcta",J155="Correcta",L155="Sí",ISNUMBER(I155),ISNUMBER(K155),I155&gt;0,K155&gt;0,O155&lt;&gt;"",P155&lt;&gt;""),"Sí","")</f>
        <v/>
      </c>
    </row>
    <row r="156">
      <c r="A156" s="3" t="inlineStr"/>
      <c r="B156" s="3" t="inlineStr"/>
      <c r="C156" s="3" t="inlineStr"/>
      <c r="D156" s="3" t="inlineStr"/>
      <c r="E156" s="3" t="inlineStr"/>
      <c r="F156" s="3" t="inlineStr"/>
      <c r="G156" s="4" t="inlineStr"/>
      <c r="H156" s="3" t="inlineStr"/>
      <c r="I156" s="5" t="inlineStr"/>
      <c r="J156" s="3" t="inlineStr"/>
      <c r="K156" s="5" t="inlineStr"/>
      <c r="L156" s="3" t="inlineStr"/>
      <c r="M156" s="3" t="inlineStr"/>
      <c r="N156" s="3" t="inlineStr"/>
      <c r="O156" s="3" t="inlineStr"/>
      <c r="P156" s="3" t="inlineStr"/>
      <c r="Q156" s="6">
        <f>IF(S156="Sí",I156-K156,"")</f>
        <v/>
      </c>
      <c r="R156" s="7">
        <f>IF(S156="Sí",Q156/I156,"")</f>
        <v/>
      </c>
      <c r="S156" s="8">
        <f>IF(AND('Preparación'!$B$2&lt;&gt;"",'Preparación'!$B$3&lt;&gt;"",COUNTIF(CodigosCasos,B156)=1,COUNTIF(CodigosTareas,C156)=1,COUNTIFS($B$2:$B$201,B156,$C$2:$C$201,C156,$D$2:$D$201,D156)=1,ISNUMBER(D156),D156&gt;0,INT(D156)=D156,D156&lt;=100,OR(E156="Manual → LegalTriage",E156="LegalTriage → Manual"),F156&lt;&gt;"",ISNUMBER(G156),G156&gt;0,H156="Correcta",J156="Correcta",L156="Sí",ISNUMBER(I156),ISNUMBER(K156),I156&gt;0,K156&gt;0,O156&lt;&gt;"",P156&lt;&gt;""),"Sí","")</f>
        <v/>
      </c>
    </row>
    <row r="157">
      <c r="A157" s="3" t="inlineStr"/>
      <c r="B157" s="3" t="inlineStr"/>
      <c r="C157" s="3" t="inlineStr"/>
      <c r="D157" s="3" t="inlineStr"/>
      <c r="E157" s="3" t="inlineStr"/>
      <c r="F157" s="3" t="inlineStr"/>
      <c r="G157" s="4" t="inlineStr"/>
      <c r="H157" s="3" t="inlineStr"/>
      <c r="I157" s="5" t="inlineStr"/>
      <c r="J157" s="3" t="inlineStr"/>
      <c r="K157" s="5" t="inlineStr"/>
      <c r="L157" s="3" t="inlineStr"/>
      <c r="M157" s="3" t="inlineStr"/>
      <c r="N157" s="3" t="inlineStr"/>
      <c r="O157" s="3" t="inlineStr"/>
      <c r="P157" s="3" t="inlineStr"/>
      <c r="Q157" s="6">
        <f>IF(S157="Sí",I157-K157,"")</f>
        <v/>
      </c>
      <c r="R157" s="7">
        <f>IF(S157="Sí",Q157/I157,"")</f>
        <v/>
      </c>
      <c r="S157" s="8">
        <f>IF(AND('Preparación'!$B$2&lt;&gt;"",'Preparación'!$B$3&lt;&gt;"",COUNTIF(CodigosCasos,B157)=1,COUNTIF(CodigosTareas,C157)=1,COUNTIFS($B$2:$B$201,B157,$C$2:$C$201,C157,$D$2:$D$201,D157)=1,ISNUMBER(D157),D157&gt;0,INT(D157)=D157,D157&lt;=100,OR(E157="Manual → LegalTriage",E157="LegalTriage → Manual"),F157&lt;&gt;"",ISNUMBER(G157),G157&gt;0,H157="Correcta",J157="Correcta",L157="Sí",ISNUMBER(I157),ISNUMBER(K157),I157&gt;0,K157&gt;0,O157&lt;&gt;"",P157&lt;&gt;""),"Sí","")</f>
        <v/>
      </c>
    </row>
    <row r="158">
      <c r="A158" s="3" t="inlineStr"/>
      <c r="B158" s="3" t="inlineStr"/>
      <c r="C158" s="3" t="inlineStr"/>
      <c r="D158" s="3" t="inlineStr"/>
      <c r="E158" s="3" t="inlineStr"/>
      <c r="F158" s="3" t="inlineStr"/>
      <c r="G158" s="4" t="inlineStr"/>
      <c r="H158" s="3" t="inlineStr"/>
      <c r="I158" s="5" t="inlineStr"/>
      <c r="J158" s="3" t="inlineStr"/>
      <c r="K158" s="5" t="inlineStr"/>
      <c r="L158" s="3" t="inlineStr"/>
      <c r="M158" s="3" t="inlineStr"/>
      <c r="N158" s="3" t="inlineStr"/>
      <c r="O158" s="3" t="inlineStr"/>
      <c r="P158" s="3" t="inlineStr"/>
      <c r="Q158" s="6">
        <f>IF(S158="Sí",I158-K158,"")</f>
        <v/>
      </c>
      <c r="R158" s="7">
        <f>IF(S158="Sí",Q158/I158,"")</f>
        <v/>
      </c>
      <c r="S158" s="8">
        <f>IF(AND('Preparación'!$B$2&lt;&gt;"",'Preparación'!$B$3&lt;&gt;"",COUNTIF(CodigosCasos,B158)=1,COUNTIF(CodigosTareas,C158)=1,COUNTIFS($B$2:$B$201,B158,$C$2:$C$201,C158,$D$2:$D$201,D158)=1,ISNUMBER(D158),D158&gt;0,INT(D158)=D158,D158&lt;=100,OR(E158="Manual → LegalTriage",E158="LegalTriage → Manual"),F158&lt;&gt;"",ISNUMBER(G158),G158&gt;0,H158="Correcta",J158="Correcta",L158="Sí",ISNUMBER(I158),ISNUMBER(K158),I158&gt;0,K158&gt;0,O158&lt;&gt;"",P158&lt;&gt;""),"Sí","")</f>
        <v/>
      </c>
    </row>
    <row r="159">
      <c r="A159" s="3" t="inlineStr"/>
      <c r="B159" s="3" t="inlineStr"/>
      <c r="C159" s="3" t="inlineStr"/>
      <c r="D159" s="3" t="inlineStr"/>
      <c r="E159" s="3" t="inlineStr"/>
      <c r="F159" s="3" t="inlineStr"/>
      <c r="G159" s="4" t="inlineStr"/>
      <c r="H159" s="3" t="inlineStr"/>
      <c r="I159" s="5" t="inlineStr"/>
      <c r="J159" s="3" t="inlineStr"/>
      <c r="K159" s="5" t="inlineStr"/>
      <c r="L159" s="3" t="inlineStr"/>
      <c r="M159" s="3" t="inlineStr"/>
      <c r="N159" s="3" t="inlineStr"/>
      <c r="O159" s="3" t="inlineStr"/>
      <c r="P159" s="3" t="inlineStr"/>
      <c r="Q159" s="6">
        <f>IF(S159="Sí",I159-K159,"")</f>
        <v/>
      </c>
      <c r="R159" s="7">
        <f>IF(S159="Sí",Q159/I159,"")</f>
        <v/>
      </c>
      <c r="S159" s="8">
        <f>IF(AND('Preparación'!$B$2&lt;&gt;"",'Preparación'!$B$3&lt;&gt;"",COUNTIF(CodigosCasos,B159)=1,COUNTIF(CodigosTareas,C159)=1,COUNTIFS($B$2:$B$201,B159,$C$2:$C$201,C159,$D$2:$D$201,D159)=1,ISNUMBER(D159),D159&gt;0,INT(D159)=D159,D159&lt;=100,OR(E159="Manual → LegalTriage",E159="LegalTriage → Manual"),F159&lt;&gt;"",ISNUMBER(G159),G159&gt;0,H159="Correcta",J159="Correcta",L159="Sí",ISNUMBER(I159),ISNUMBER(K159),I159&gt;0,K159&gt;0,O159&lt;&gt;"",P159&lt;&gt;""),"Sí","")</f>
        <v/>
      </c>
    </row>
    <row r="160">
      <c r="A160" s="3" t="inlineStr"/>
      <c r="B160" s="3" t="inlineStr"/>
      <c r="C160" s="3" t="inlineStr"/>
      <c r="D160" s="3" t="inlineStr"/>
      <c r="E160" s="3" t="inlineStr"/>
      <c r="F160" s="3" t="inlineStr"/>
      <c r="G160" s="4" t="inlineStr"/>
      <c r="H160" s="3" t="inlineStr"/>
      <c r="I160" s="5" t="inlineStr"/>
      <c r="J160" s="3" t="inlineStr"/>
      <c r="K160" s="5" t="inlineStr"/>
      <c r="L160" s="3" t="inlineStr"/>
      <c r="M160" s="3" t="inlineStr"/>
      <c r="N160" s="3" t="inlineStr"/>
      <c r="O160" s="3" t="inlineStr"/>
      <c r="P160" s="3" t="inlineStr"/>
      <c r="Q160" s="6">
        <f>IF(S160="Sí",I160-K160,"")</f>
        <v/>
      </c>
      <c r="R160" s="7">
        <f>IF(S160="Sí",Q160/I160,"")</f>
        <v/>
      </c>
      <c r="S160" s="8">
        <f>IF(AND('Preparación'!$B$2&lt;&gt;"",'Preparación'!$B$3&lt;&gt;"",COUNTIF(CodigosCasos,B160)=1,COUNTIF(CodigosTareas,C160)=1,COUNTIFS($B$2:$B$201,B160,$C$2:$C$201,C160,$D$2:$D$201,D160)=1,ISNUMBER(D160),D160&gt;0,INT(D160)=D160,D160&lt;=100,OR(E160="Manual → LegalTriage",E160="LegalTriage → Manual"),F160&lt;&gt;"",ISNUMBER(G160),G160&gt;0,H160="Correcta",J160="Correcta",L160="Sí",ISNUMBER(I160),ISNUMBER(K160),I160&gt;0,K160&gt;0,O160&lt;&gt;"",P160&lt;&gt;""),"Sí","")</f>
        <v/>
      </c>
    </row>
    <row r="161">
      <c r="A161" s="3" t="inlineStr"/>
      <c r="B161" s="3" t="inlineStr"/>
      <c r="C161" s="3" t="inlineStr"/>
      <c r="D161" s="3" t="inlineStr"/>
      <c r="E161" s="3" t="inlineStr"/>
      <c r="F161" s="3" t="inlineStr"/>
      <c r="G161" s="4" t="inlineStr"/>
      <c r="H161" s="3" t="inlineStr"/>
      <c r="I161" s="5" t="inlineStr"/>
      <c r="J161" s="3" t="inlineStr"/>
      <c r="K161" s="5" t="inlineStr"/>
      <c r="L161" s="3" t="inlineStr"/>
      <c r="M161" s="3" t="inlineStr"/>
      <c r="N161" s="3" t="inlineStr"/>
      <c r="O161" s="3" t="inlineStr"/>
      <c r="P161" s="3" t="inlineStr"/>
      <c r="Q161" s="6">
        <f>IF(S161="Sí",I161-K161,"")</f>
        <v/>
      </c>
      <c r="R161" s="7">
        <f>IF(S161="Sí",Q161/I161,"")</f>
        <v/>
      </c>
      <c r="S161" s="8">
        <f>IF(AND('Preparación'!$B$2&lt;&gt;"",'Preparación'!$B$3&lt;&gt;"",COUNTIF(CodigosCasos,B161)=1,COUNTIF(CodigosTareas,C161)=1,COUNTIFS($B$2:$B$201,B161,$C$2:$C$201,C161,$D$2:$D$201,D161)=1,ISNUMBER(D161),D161&gt;0,INT(D161)=D161,D161&lt;=100,OR(E161="Manual → LegalTriage",E161="LegalTriage → Manual"),F161&lt;&gt;"",ISNUMBER(G161),G161&gt;0,H161="Correcta",J161="Correcta",L161="Sí",ISNUMBER(I161),ISNUMBER(K161),I161&gt;0,K161&gt;0,O161&lt;&gt;"",P161&lt;&gt;""),"Sí","")</f>
        <v/>
      </c>
    </row>
    <row r="162">
      <c r="A162" s="3" t="inlineStr"/>
      <c r="B162" s="3" t="inlineStr"/>
      <c r="C162" s="3" t="inlineStr"/>
      <c r="D162" s="3" t="inlineStr"/>
      <c r="E162" s="3" t="inlineStr"/>
      <c r="F162" s="3" t="inlineStr"/>
      <c r="G162" s="4" t="inlineStr"/>
      <c r="H162" s="3" t="inlineStr"/>
      <c r="I162" s="5" t="inlineStr"/>
      <c r="J162" s="3" t="inlineStr"/>
      <c r="K162" s="5" t="inlineStr"/>
      <c r="L162" s="3" t="inlineStr"/>
      <c r="M162" s="3" t="inlineStr"/>
      <c r="N162" s="3" t="inlineStr"/>
      <c r="O162" s="3" t="inlineStr"/>
      <c r="P162" s="3" t="inlineStr"/>
      <c r="Q162" s="6">
        <f>IF(S162="Sí",I162-K162,"")</f>
        <v/>
      </c>
      <c r="R162" s="7">
        <f>IF(S162="Sí",Q162/I162,"")</f>
        <v/>
      </c>
      <c r="S162" s="8">
        <f>IF(AND('Preparación'!$B$2&lt;&gt;"",'Preparación'!$B$3&lt;&gt;"",COUNTIF(CodigosCasos,B162)=1,COUNTIF(CodigosTareas,C162)=1,COUNTIFS($B$2:$B$201,B162,$C$2:$C$201,C162,$D$2:$D$201,D162)=1,ISNUMBER(D162),D162&gt;0,INT(D162)=D162,D162&lt;=100,OR(E162="Manual → LegalTriage",E162="LegalTriage → Manual"),F162&lt;&gt;"",ISNUMBER(G162),G162&gt;0,H162="Correcta",J162="Correcta",L162="Sí",ISNUMBER(I162),ISNUMBER(K162),I162&gt;0,K162&gt;0,O162&lt;&gt;"",P162&lt;&gt;""),"Sí","")</f>
        <v/>
      </c>
    </row>
    <row r="163">
      <c r="A163" s="3" t="inlineStr"/>
      <c r="B163" s="3" t="inlineStr"/>
      <c r="C163" s="3" t="inlineStr"/>
      <c r="D163" s="3" t="inlineStr"/>
      <c r="E163" s="3" t="inlineStr"/>
      <c r="F163" s="3" t="inlineStr"/>
      <c r="G163" s="4" t="inlineStr"/>
      <c r="H163" s="3" t="inlineStr"/>
      <c r="I163" s="5" t="inlineStr"/>
      <c r="J163" s="3" t="inlineStr"/>
      <c r="K163" s="5" t="inlineStr"/>
      <c r="L163" s="3" t="inlineStr"/>
      <c r="M163" s="3" t="inlineStr"/>
      <c r="N163" s="3" t="inlineStr"/>
      <c r="O163" s="3" t="inlineStr"/>
      <c r="P163" s="3" t="inlineStr"/>
      <c r="Q163" s="6">
        <f>IF(S163="Sí",I163-K163,"")</f>
        <v/>
      </c>
      <c r="R163" s="7">
        <f>IF(S163="Sí",Q163/I163,"")</f>
        <v/>
      </c>
      <c r="S163" s="8">
        <f>IF(AND('Preparación'!$B$2&lt;&gt;"",'Preparación'!$B$3&lt;&gt;"",COUNTIF(CodigosCasos,B163)=1,COUNTIF(CodigosTareas,C163)=1,COUNTIFS($B$2:$B$201,B163,$C$2:$C$201,C163,$D$2:$D$201,D163)=1,ISNUMBER(D163),D163&gt;0,INT(D163)=D163,D163&lt;=100,OR(E163="Manual → LegalTriage",E163="LegalTriage → Manual"),F163&lt;&gt;"",ISNUMBER(G163),G163&gt;0,H163="Correcta",J163="Correcta",L163="Sí",ISNUMBER(I163),ISNUMBER(K163),I163&gt;0,K163&gt;0,O163&lt;&gt;"",P163&lt;&gt;""),"Sí","")</f>
        <v/>
      </c>
    </row>
    <row r="164">
      <c r="A164" s="3" t="inlineStr"/>
      <c r="B164" s="3" t="inlineStr"/>
      <c r="C164" s="3" t="inlineStr"/>
      <c r="D164" s="3" t="inlineStr"/>
      <c r="E164" s="3" t="inlineStr"/>
      <c r="F164" s="3" t="inlineStr"/>
      <c r="G164" s="4" t="inlineStr"/>
      <c r="H164" s="3" t="inlineStr"/>
      <c r="I164" s="5" t="inlineStr"/>
      <c r="J164" s="3" t="inlineStr"/>
      <c r="K164" s="5" t="inlineStr"/>
      <c r="L164" s="3" t="inlineStr"/>
      <c r="M164" s="3" t="inlineStr"/>
      <c r="N164" s="3" t="inlineStr"/>
      <c r="O164" s="3" t="inlineStr"/>
      <c r="P164" s="3" t="inlineStr"/>
      <c r="Q164" s="6">
        <f>IF(S164="Sí",I164-K164,"")</f>
        <v/>
      </c>
      <c r="R164" s="7">
        <f>IF(S164="Sí",Q164/I164,"")</f>
        <v/>
      </c>
      <c r="S164" s="8">
        <f>IF(AND('Preparación'!$B$2&lt;&gt;"",'Preparación'!$B$3&lt;&gt;"",COUNTIF(CodigosCasos,B164)=1,COUNTIF(CodigosTareas,C164)=1,COUNTIFS($B$2:$B$201,B164,$C$2:$C$201,C164,$D$2:$D$201,D164)=1,ISNUMBER(D164),D164&gt;0,INT(D164)=D164,D164&lt;=100,OR(E164="Manual → LegalTriage",E164="LegalTriage → Manual"),F164&lt;&gt;"",ISNUMBER(G164),G164&gt;0,H164="Correcta",J164="Correcta",L164="Sí",ISNUMBER(I164),ISNUMBER(K164),I164&gt;0,K164&gt;0,O164&lt;&gt;"",P164&lt;&gt;""),"Sí","")</f>
        <v/>
      </c>
    </row>
    <row r="165">
      <c r="A165" s="3" t="inlineStr"/>
      <c r="B165" s="3" t="inlineStr"/>
      <c r="C165" s="3" t="inlineStr"/>
      <c r="D165" s="3" t="inlineStr"/>
      <c r="E165" s="3" t="inlineStr"/>
      <c r="F165" s="3" t="inlineStr"/>
      <c r="G165" s="4" t="inlineStr"/>
      <c r="H165" s="3" t="inlineStr"/>
      <c r="I165" s="5" t="inlineStr"/>
      <c r="J165" s="3" t="inlineStr"/>
      <c r="K165" s="5" t="inlineStr"/>
      <c r="L165" s="3" t="inlineStr"/>
      <c r="M165" s="3" t="inlineStr"/>
      <c r="N165" s="3" t="inlineStr"/>
      <c r="O165" s="3" t="inlineStr"/>
      <c r="P165" s="3" t="inlineStr"/>
      <c r="Q165" s="6">
        <f>IF(S165="Sí",I165-K165,"")</f>
        <v/>
      </c>
      <c r="R165" s="7">
        <f>IF(S165="Sí",Q165/I165,"")</f>
        <v/>
      </c>
      <c r="S165" s="8">
        <f>IF(AND('Preparación'!$B$2&lt;&gt;"",'Preparación'!$B$3&lt;&gt;"",COUNTIF(CodigosCasos,B165)=1,COUNTIF(CodigosTareas,C165)=1,COUNTIFS($B$2:$B$201,B165,$C$2:$C$201,C165,$D$2:$D$201,D165)=1,ISNUMBER(D165),D165&gt;0,INT(D165)=D165,D165&lt;=100,OR(E165="Manual → LegalTriage",E165="LegalTriage → Manual"),F165&lt;&gt;"",ISNUMBER(G165),G165&gt;0,H165="Correcta",J165="Correcta",L165="Sí",ISNUMBER(I165),ISNUMBER(K165),I165&gt;0,K165&gt;0,O165&lt;&gt;"",P165&lt;&gt;""),"Sí","")</f>
        <v/>
      </c>
    </row>
    <row r="166">
      <c r="A166" s="3" t="inlineStr"/>
      <c r="B166" s="3" t="inlineStr"/>
      <c r="C166" s="3" t="inlineStr"/>
      <c r="D166" s="3" t="inlineStr"/>
      <c r="E166" s="3" t="inlineStr"/>
      <c r="F166" s="3" t="inlineStr"/>
      <c r="G166" s="4" t="inlineStr"/>
      <c r="H166" s="3" t="inlineStr"/>
      <c r="I166" s="5" t="inlineStr"/>
      <c r="J166" s="3" t="inlineStr"/>
      <c r="K166" s="5" t="inlineStr"/>
      <c r="L166" s="3" t="inlineStr"/>
      <c r="M166" s="3" t="inlineStr"/>
      <c r="N166" s="3" t="inlineStr"/>
      <c r="O166" s="3" t="inlineStr"/>
      <c r="P166" s="3" t="inlineStr"/>
      <c r="Q166" s="6">
        <f>IF(S166="Sí",I166-K166,"")</f>
        <v/>
      </c>
      <c r="R166" s="7">
        <f>IF(S166="Sí",Q166/I166,"")</f>
        <v/>
      </c>
      <c r="S166" s="8">
        <f>IF(AND('Preparación'!$B$2&lt;&gt;"",'Preparación'!$B$3&lt;&gt;"",COUNTIF(CodigosCasos,B166)=1,COUNTIF(CodigosTareas,C166)=1,COUNTIFS($B$2:$B$201,B166,$C$2:$C$201,C166,$D$2:$D$201,D166)=1,ISNUMBER(D166),D166&gt;0,INT(D166)=D166,D166&lt;=100,OR(E166="Manual → LegalTriage",E166="LegalTriage → Manual"),F166&lt;&gt;"",ISNUMBER(G166),G166&gt;0,H166="Correcta",J166="Correcta",L166="Sí",ISNUMBER(I166),ISNUMBER(K166),I166&gt;0,K166&gt;0,O166&lt;&gt;"",P166&lt;&gt;""),"Sí","")</f>
        <v/>
      </c>
    </row>
    <row r="167">
      <c r="A167" s="3" t="inlineStr"/>
      <c r="B167" s="3" t="inlineStr"/>
      <c r="C167" s="3" t="inlineStr"/>
      <c r="D167" s="3" t="inlineStr"/>
      <c r="E167" s="3" t="inlineStr"/>
      <c r="F167" s="3" t="inlineStr"/>
      <c r="G167" s="4" t="inlineStr"/>
      <c r="H167" s="3" t="inlineStr"/>
      <c r="I167" s="5" t="inlineStr"/>
      <c r="J167" s="3" t="inlineStr"/>
      <c r="K167" s="5" t="inlineStr"/>
      <c r="L167" s="3" t="inlineStr"/>
      <c r="M167" s="3" t="inlineStr"/>
      <c r="N167" s="3" t="inlineStr"/>
      <c r="O167" s="3" t="inlineStr"/>
      <c r="P167" s="3" t="inlineStr"/>
      <c r="Q167" s="6">
        <f>IF(S167="Sí",I167-K167,"")</f>
        <v/>
      </c>
      <c r="R167" s="7">
        <f>IF(S167="Sí",Q167/I167,"")</f>
        <v/>
      </c>
      <c r="S167" s="8">
        <f>IF(AND('Preparación'!$B$2&lt;&gt;"",'Preparación'!$B$3&lt;&gt;"",COUNTIF(CodigosCasos,B167)=1,COUNTIF(CodigosTareas,C167)=1,COUNTIFS($B$2:$B$201,B167,$C$2:$C$201,C167,$D$2:$D$201,D167)=1,ISNUMBER(D167),D167&gt;0,INT(D167)=D167,D167&lt;=100,OR(E167="Manual → LegalTriage",E167="LegalTriage → Manual"),F167&lt;&gt;"",ISNUMBER(G167),G167&gt;0,H167="Correcta",J167="Correcta",L167="Sí",ISNUMBER(I167),ISNUMBER(K167),I167&gt;0,K167&gt;0,O167&lt;&gt;"",P167&lt;&gt;""),"Sí","")</f>
        <v/>
      </c>
    </row>
    <row r="168">
      <c r="A168" s="3" t="inlineStr"/>
      <c r="B168" s="3" t="inlineStr"/>
      <c r="C168" s="3" t="inlineStr"/>
      <c r="D168" s="3" t="inlineStr"/>
      <c r="E168" s="3" t="inlineStr"/>
      <c r="F168" s="3" t="inlineStr"/>
      <c r="G168" s="4" t="inlineStr"/>
      <c r="H168" s="3" t="inlineStr"/>
      <c r="I168" s="5" t="inlineStr"/>
      <c r="J168" s="3" t="inlineStr"/>
      <c r="K168" s="5" t="inlineStr"/>
      <c r="L168" s="3" t="inlineStr"/>
      <c r="M168" s="3" t="inlineStr"/>
      <c r="N168" s="3" t="inlineStr"/>
      <c r="O168" s="3" t="inlineStr"/>
      <c r="P168" s="3" t="inlineStr"/>
      <c r="Q168" s="6">
        <f>IF(S168="Sí",I168-K168,"")</f>
        <v/>
      </c>
      <c r="R168" s="7">
        <f>IF(S168="Sí",Q168/I168,"")</f>
        <v/>
      </c>
      <c r="S168" s="8">
        <f>IF(AND('Preparación'!$B$2&lt;&gt;"",'Preparación'!$B$3&lt;&gt;"",COUNTIF(CodigosCasos,B168)=1,COUNTIF(CodigosTareas,C168)=1,COUNTIFS($B$2:$B$201,B168,$C$2:$C$201,C168,$D$2:$D$201,D168)=1,ISNUMBER(D168),D168&gt;0,INT(D168)=D168,D168&lt;=100,OR(E168="Manual → LegalTriage",E168="LegalTriage → Manual"),F168&lt;&gt;"",ISNUMBER(G168),G168&gt;0,H168="Correcta",J168="Correcta",L168="Sí",ISNUMBER(I168),ISNUMBER(K168),I168&gt;0,K168&gt;0,O168&lt;&gt;"",P168&lt;&gt;""),"Sí","")</f>
        <v/>
      </c>
    </row>
    <row r="169">
      <c r="A169" s="3" t="inlineStr"/>
      <c r="B169" s="3" t="inlineStr"/>
      <c r="C169" s="3" t="inlineStr"/>
      <c r="D169" s="3" t="inlineStr"/>
      <c r="E169" s="3" t="inlineStr"/>
      <c r="F169" s="3" t="inlineStr"/>
      <c r="G169" s="4" t="inlineStr"/>
      <c r="H169" s="3" t="inlineStr"/>
      <c r="I169" s="5" t="inlineStr"/>
      <c r="J169" s="3" t="inlineStr"/>
      <c r="K169" s="5" t="inlineStr"/>
      <c r="L169" s="3" t="inlineStr"/>
      <c r="M169" s="3" t="inlineStr"/>
      <c r="N169" s="3" t="inlineStr"/>
      <c r="O169" s="3" t="inlineStr"/>
      <c r="P169" s="3" t="inlineStr"/>
      <c r="Q169" s="6">
        <f>IF(S169="Sí",I169-K169,"")</f>
        <v/>
      </c>
      <c r="R169" s="7">
        <f>IF(S169="Sí",Q169/I169,"")</f>
        <v/>
      </c>
      <c r="S169" s="8">
        <f>IF(AND('Preparación'!$B$2&lt;&gt;"",'Preparación'!$B$3&lt;&gt;"",COUNTIF(CodigosCasos,B169)=1,COUNTIF(CodigosTareas,C169)=1,COUNTIFS($B$2:$B$201,B169,$C$2:$C$201,C169,$D$2:$D$201,D169)=1,ISNUMBER(D169),D169&gt;0,INT(D169)=D169,D169&lt;=100,OR(E169="Manual → LegalTriage",E169="LegalTriage → Manual"),F169&lt;&gt;"",ISNUMBER(G169),G169&gt;0,H169="Correcta",J169="Correcta",L169="Sí",ISNUMBER(I169),ISNUMBER(K169),I169&gt;0,K169&gt;0,O169&lt;&gt;"",P169&lt;&gt;""),"Sí","")</f>
        <v/>
      </c>
    </row>
    <row r="170">
      <c r="A170" s="3" t="inlineStr"/>
      <c r="B170" s="3" t="inlineStr"/>
      <c r="C170" s="3" t="inlineStr"/>
      <c r="D170" s="3" t="inlineStr"/>
      <c r="E170" s="3" t="inlineStr"/>
      <c r="F170" s="3" t="inlineStr"/>
      <c r="G170" s="4" t="inlineStr"/>
      <c r="H170" s="3" t="inlineStr"/>
      <c r="I170" s="5" t="inlineStr"/>
      <c r="J170" s="3" t="inlineStr"/>
      <c r="K170" s="5" t="inlineStr"/>
      <c r="L170" s="3" t="inlineStr"/>
      <c r="M170" s="3" t="inlineStr"/>
      <c r="N170" s="3" t="inlineStr"/>
      <c r="O170" s="3" t="inlineStr"/>
      <c r="P170" s="3" t="inlineStr"/>
      <c r="Q170" s="6">
        <f>IF(S170="Sí",I170-K170,"")</f>
        <v/>
      </c>
      <c r="R170" s="7">
        <f>IF(S170="Sí",Q170/I170,"")</f>
        <v/>
      </c>
      <c r="S170" s="8">
        <f>IF(AND('Preparación'!$B$2&lt;&gt;"",'Preparación'!$B$3&lt;&gt;"",COUNTIF(CodigosCasos,B170)=1,COUNTIF(CodigosTareas,C170)=1,COUNTIFS($B$2:$B$201,B170,$C$2:$C$201,C170,$D$2:$D$201,D170)=1,ISNUMBER(D170),D170&gt;0,INT(D170)=D170,D170&lt;=100,OR(E170="Manual → LegalTriage",E170="LegalTriage → Manual"),F170&lt;&gt;"",ISNUMBER(G170),G170&gt;0,H170="Correcta",J170="Correcta",L170="Sí",ISNUMBER(I170),ISNUMBER(K170),I170&gt;0,K170&gt;0,O170&lt;&gt;"",P170&lt;&gt;""),"Sí","")</f>
        <v/>
      </c>
    </row>
    <row r="171">
      <c r="A171" s="3" t="inlineStr"/>
      <c r="B171" s="3" t="inlineStr"/>
      <c r="C171" s="3" t="inlineStr"/>
      <c r="D171" s="3" t="inlineStr"/>
      <c r="E171" s="3" t="inlineStr"/>
      <c r="F171" s="3" t="inlineStr"/>
      <c r="G171" s="4" t="inlineStr"/>
      <c r="H171" s="3" t="inlineStr"/>
      <c r="I171" s="5" t="inlineStr"/>
      <c r="J171" s="3" t="inlineStr"/>
      <c r="K171" s="5" t="inlineStr"/>
      <c r="L171" s="3" t="inlineStr"/>
      <c r="M171" s="3" t="inlineStr"/>
      <c r="N171" s="3" t="inlineStr"/>
      <c r="O171" s="3" t="inlineStr"/>
      <c r="P171" s="3" t="inlineStr"/>
      <c r="Q171" s="6">
        <f>IF(S171="Sí",I171-K171,"")</f>
        <v/>
      </c>
      <c r="R171" s="7">
        <f>IF(S171="Sí",Q171/I171,"")</f>
        <v/>
      </c>
      <c r="S171" s="8">
        <f>IF(AND('Preparación'!$B$2&lt;&gt;"",'Preparación'!$B$3&lt;&gt;"",COUNTIF(CodigosCasos,B171)=1,COUNTIF(CodigosTareas,C171)=1,COUNTIFS($B$2:$B$201,B171,$C$2:$C$201,C171,$D$2:$D$201,D171)=1,ISNUMBER(D171),D171&gt;0,INT(D171)=D171,D171&lt;=100,OR(E171="Manual → LegalTriage",E171="LegalTriage → Manual"),F171&lt;&gt;"",ISNUMBER(G171),G171&gt;0,H171="Correcta",J171="Correcta",L171="Sí",ISNUMBER(I171),ISNUMBER(K171),I171&gt;0,K171&gt;0,O171&lt;&gt;"",P171&lt;&gt;""),"Sí","")</f>
        <v/>
      </c>
    </row>
    <row r="172">
      <c r="A172" s="3" t="inlineStr"/>
      <c r="B172" s="3" t="inlineStr"/>
      <c r="C172" s="3" t="inlineStr"/>
      <c r="D172" s="3" t="inlineStr"/>
      <c r="E172" s="3" t="inlineStr"/>
      <c r="F172" s="3" t="inlineStr"/>
      <c r="G172" s="4" t="inlineStr"/>
      <c r="H172" s="3" t="inlineStr"/>
      <c r="I172" s="5" t="inlineStr"/>
      <c r="J172" s="3" t="inlineStr"/>
      <c r="K172" s="5" t="inlineStr"/>
      <c r="L172" s="3" t="inlineStr"/>
      <c r="M172" s="3" t="inlineStr"/>
      <c r="N172" s="3" t="inlineStr"/>
      <c r="O172" s="3" t="inlineStr"/>
      <c r="P172" s="3" t="inlineStr"/>
      <c r="Q172" s="6">
        <f>IF(S172="Sí",I172-K172,"")</f>
        <v/>
      </c>
      <c r="R172" s="7">
        <f>IF(S172="Sí",Q172/I172,"")</f>
        <v/>
      </c>
      <c r="S172" s="8">
        <f>IF(AND('Preparación'!$B$2&lt;&gt;"",'Preparación'!$B$3&lt;&gt;"",COUNTIF(CodigosCasos,B172)=1,COUNTIF(CodigosTareas,C172)=1,COUNTIFS($B$2:$B$201,B172,$C$2:$C$201,C172,$D$2:$D$201,D172)=1,ISNUMBER(D172),D172&gt;0,INT(D172)=D172,D172&lt;=100,OR(E172="Manual → LegalTriage",E172="LegalTriage → Manual"),F172&lt;&gt;"",ISNUMBER(G172),G172&gt;0,H172="Correcta",J172="Correcta",L172="Sí",ISNUMBER(I172),ISNUMBER(K172),I172&gt;0,K172&gt;0,O172&lt;&gt;"",P172&lt;&gt;""),"Sí","")</f>
        <v/>
      </c>
    </row>
    <row r="173">
      <c r="A173" s="3" t="inlineStr"/>
      <c r="B173" s="3" t="inlineStr"/>
      <c r="C173" s="3" t="inlineStr"/>
      <c r="D173" s="3" t="inlineStr"/>
      <c r="E173" s="3" t="inlineStr"/>
      <c r="F173" s="3" t="inlineStr"/>
      <c r="G173" s="4" t="inlineStr"/>
      <c r="H173" s="3" t="inlineStr"/>
      <c r="I173" s="5" t="inlineStr"/>
      <c r="J173" s="3" t="inlineStr"/>
      <c r="K173" s="5" t="inlineStr"/>
      <c r="L173" s="3" t="inlineStr"/>
      <c r="M173" s="3" t="inlineStr"/>
      <c r="N173" s="3" t="inlineStr"/>
      <c r="O173" s="3" t="inlineStr"/>
      <c r="P173" s="3" t="inlineStr"/>
      <c r="Q173" s="6">
        <f>IF(S173="Sí",I173-K173,"")</f>
        <v/>
      </c>
      <c r="R173" s="7">
        <f>IF(S173="Sí",Q173/I173,"")</f>
        <v/>
      </c>
      <c r="S173" s="8">
        <f>IF(AND('Preparación'!$B$2&lt;&gt;"",'Preparación'!$B$3&lt;&gt;"",COUNTIF(CodigosCasos,B173)=1,COUNTIF(CodigosTareas,C173)=1,COUNTIFS($B$2:$B$201,B173,$C$2:$C$201,C173,$D$2:$D$201,D173)=1,ISNUMBER(D173),D173&gt;0,INT(D173)=D173,D173&lt;=100,OR(E173="Manual → LegalTriage",E173="LegalTriage → Manual"),F173&lt;&gt;"",ISNUMBER(G173),G173&gt;0,H173="Correcta",J173="Correcta",L173="Sí",ISNUMBER(I173),ISNUMBER(K173),I173&gt;0,K173&gt;0,O173&lt;&gt;"",P173&lt;&gt;""),"Sí","")</f>
        <v/>
      </c>
    </row>
    <row r="174">
      <c r="A174" s="3" t="inlineStr"/>
      <c r="B174" s="3" t="inlineStr"/>
      <c r="C174" s="3" t="inlineStr"/>
      <c r="D174" s="3" t="inlineStr"/>
      <c r="E174" s="3" t="inlineStr"/>
      <c r="F174" s="3" t="inlineStr"/>
      <c r="G174" s="4" t="inlineStr"/>
      <c r="H174" s="3" t="inlineStr"/>
      <c r="I174" s="5" t="inlineStr"/>
      <c r="J174" s="3" t="inlineStr"/>
      <c r="K174" s="5" t="inlineStr"/>
      <c r="L174" s="3" t="inlineStr"/>
      <c r="M174" s="3" t="inlineStr"/>
      <c r="N174" s="3" t="inlineStr"/>
      <c r="O174" s="3" t="inlineStr"/>
      <c r="P174" s="3" t="inlineStr"/>
      <c r="Q174" s="6">
        <f>IF(S174="Sí",I174-K174,"")</f>
        <v/>
      </c>
      <c r="R174" s="7">
        <f>IF(S174="Sí",Q174/I174,"")</f>
        <v/>
      </c>
      <c r="S174" s="8">
        <f>IF(AND('Preparación'!$B$2&lt;&gt;"",'Preparación'!$B$3&lt;&gt;"",COUNTIF(CodigosCasos,B174)=1,COUNTIF(CodigosTareas,C174)=1,COUNTIFS($B$2:$B$201,B174,$C$2:$C$201,C174,$D$2:$D$201,D174)=1,ISNUMBER(D174),D174&gt;0,INT(D174)=D174,D174&lt;=100,OR(E174="Manual → LegalTriage",E174="LegalTriage → Manual"),F174&lt;&gt;"",ISNUMBER(G174),G174&gt;0,H174="Correcta",J174="Correcta",L174="Sí",ISNUMBER(I174),ISNUMBER(K174),I174&gt;0,K174&gt;0,O174&lt;&gt;"",P174&lt;&gt;""),"Sí","")</f>
        <v/>
      </c>
    </row>
    <row r="175">
      <c r="A175" s="3" t="inlineStr"/>
      <c r="B175" s="3" t="inlineStr"/>
      <c r="C175" s="3" t="inlineStr"/>
      <c r="D175" s="3" t="inlineStr"/>
      <c r="E175" s="3" t="inlineStr"/>
      <c r="F175" s="3" t="inlineStr"/>
      <c r="G175" s="4" t="inlineStr"/>
      <c r="H175" s="3" t="inlineStr"/>
      <c r="I175" s="5" t="inlineStr"/>
      <c r="J175" s="3" t="inlineStr"/>
      <c r="K175" s="5" t="inlineStr"/>
      <c r="L175" s="3" t="inlineStr"/>
      <c r="M175" s="3" t="inlineStr"/>
      <c r="N175" s="3" t="inlineStr"/>
      <c r="O175" s="3" t="inlineStr"/>
      <c r="P175" s="3" t="inlineStr"/>
      <c r="Q175" s="6">
        <f>IF(S175="Sí",I175-K175,"")</f>
        <v/>
      </c>
      <c r="R175" s="7">
        <f>IF(S175="Sí",Q175/I175,"")</f>
        <v/>
      </c>
      <c r="S175" s="8">
        <f>IF(AND('Preparación'!$B$2&lt;&gt;"",'Preparación'!$B$3&lt;&gt;"",COUNTIF(CodigosCasos,B175)=1,COUNTIF(CodigosTareas,C175)=1,COUNTIFS($B$2:$B$201,B175,$C$2:$C$201,C175,$D$2:$D$201,D175)=1,ISNUMBER(D175),D175&gt;0,INT(D175)=D175,D175&lt;=100,OR(E175="Manual → LegalTriage",E175="LegalTriage → Manual"),F175&lt;&gt;"",ISNUMBER(G175),G175&gt;0,H175="Correcta",J175="Correcta",L175="Sí",ISNUMBER(I175),ISNUMBER(K175),I175&gt;0,K175&gt;0,O175&lt;&gt;"",P175&lt;&gt;""),"Sí","")</f>
        <v/>
      </c>
    </row>
    <row r="176">
      <c r="A176" s="3" t="inlineStr"/>
      <c r="B176" s="3" t="inlineStr"/>
      <c r="C176" s="3" t="inlineStr"/>
      <c r="D176" s="3" t="inlineStr"/>
      <c r="E176" s="3" t="inlineStr"/>
      <c r="F176" s="3" t="inlineStr"/>
      <c r="G176" s="4" t="inlineStr"/>
      <c r="H176" s="3" t="inlineStr"/>
      <c r="I176" s="5" t="inlineStr"/>
      <c r="J176" s="3" t="inlineStr"/>
      <c r="K176" s="5" t="inlineStr"/>
      <c r="L176" s="3" t="inlineStr"/>
      <c r="M176" s="3" t="inlineStr"/>
      <c r="N176" s="3" t="inlineStr"/>
      <c r="O176" s="3" t="inlineStr"/>
      <c r="P176" s="3" t="inlineStr"/>
      <c r="Q176" s="6">
        <f>IF(S176="Sí",I176-K176,"")</f>
        <v/>
      </c>
      <c r="R176" s="7">
        <f>IF(S176="Sí",Q176/I176,"")</f>
        <v/>
      </c>
      <c r="S176" s="8">
        <f>IF(AND('Preparación'!$B$2&lt;&gt;"",'Preparación'!$B$3&lt;&gt;"",COUNTIF(CodigosCasos,B176)=1,COUNTIF(CodigosTareas,C176)=1,COUNTIFS($B$2:$B$201,B176,$C$2:$C$201,C176,$D$2:$D$201,D176)=1,ISNUMBER(D176),D176&gt;0,INT(D176)=D176,D176&lt;=100,OR(E176="Manual → LegalTriage",E176="LegalTriage → Manual"),F176&lt;&gt;"",ISNUMBER(G176),G176&gt;0,H176="Correcta",J176="Correcta",L176="Sí",ISNUMBER(I176),ISNUMBER(K176),I176&gt;0,K176&gt;0,O176&lt;&gt;"",P176&lt;&gt;""),"Sí","")</f>
        <v/>
      </c>
    </row>
    <row r="177">
      <c r="A177" s="3" t="inlineStr"/>
      <c r="B177" s="3" t="inlineStr"/>
      <c r="C177" s="3" t="inlineStr"/>
      <c r="D177" s="3" t="inlineStr"/>
      <c r="E177" s="3" t="inlineStr"/>
      <c r="F177" s="3" t="inlineStr"/>
      <c r="G177" s="4" t="inlineStr"/>
      <c r="H177" s="3" t="inlineStr"/>
      <c r="I177" s="5" t="inlineStr"/>
      <c r="J177" s="3" t="inlineStr"/>
      <c r="K177" s="5" t="inlineStr"/>
      <c r="L177" s="3" t="inlineStr"/>
      <c r="M177" s="3" t="inlineStr"/>
      <c r="N177" s="3" t="inlineStr"/>
      <c r="O177" s="3" t="inlineStr"/>
      <c r="P177" s="3" t="inlineStr"/>
      <c r="Q177" s="6">
        <f>IF(S177="Sí",I177-K177,"")</f>
        <v/>
      </c>
      <c r="R177" s="7">
        <f>IF(S177="Sí",Q177/I177,"")</f>
        <v/>
      </c>
      <c r="S177" s="8">
        <f>IF(AND('Preparación'!$B$2&lt;&gt;"",'Preparación'!$B$3&lt;&gt;"",COUNTIF(CodigosCasos,B177)=1,COUNTIF(CodigosTareas,C177)=1,COUNTIFS($B$2:$B$201,B177,$C$2:$C$201,C177,$D$2:$D$201,D177)=1,ISNUMBER(D177),D177&gt;0,INT(D177)=D177,D177&lt;=100,OR(E177="Manual → LegalTriage",E177="LegalTriage → Manual"),F177&lt;&gt;"",ISNUMBER(G177),G177&gt;0,H177="Correcta",J177="Correcta",L177="Sí",ISNUMBER(I177),ISNUMBER(K177),I177&gt;0,K177&gt;0,O177&lt;&gt;"",P177&lt;&gt;""),"Sí","")</f>
        <v/>
      </c>
    </row>
    <row r="178">
      <c r="A178" s="3" t="inlineStr"/>
      <c r="B178" s="3" t="inlineStr"/>
      <c r="C178" s="3" t="inlineStr"/>
      <c r="D178" s="3" t="inlineStr"/>
      <c r="E178" s="3" t="inlineStr"/>
      <c r="F178" s="3" t="inlineStr"/>
      <c r="G178" s="4" t="inlineStr"/>
      <c r="H178" s="3" t="inlineStr"/>
      <c r="I178" s="5" t="inlineStr"/>
      <c r="J178" s="3" t="inlineStr"/>
      <c r="K178" s="5" t="inlineStr"/>
      <c r="L178" s="3" t="inlineStr"/>
      <c r="M178" s="3" t="inlineStr"/>
      <c r="N178" s="3" t="inlineStr"/>
      <c r="O178" s="3" t="inlineStr"/>
      <c r="P178" s="3" t="inlineStr"/>
      <c r="Q178" s="6">
        <f>IF(S178="Sí",I178-K178,"")</f>
        <v/>
      </c>
      <c r="R178" s="7">
        <f>IF(S178="Sí",Q178/I178,"")</f>
        <v/>
      </c>
      <c r="S178" s="8">
        <f>IF(AND('Preparación'!$B$2&lt;&gt;"",'Preparación'!$B$3&lt;&gt;"",COUNTIF(CodigosCasos,B178)=1,COUNTIF(CodigosTareas,C178)=1,COUNTIFS($B$2:$B$201,B178,$C$2:$C$201,C178,$D$2:$D$201,D178)=1,ISNUMBER(D178),D178&gt;0,INT(D178)=D178,D178&lt;=100,OR(E178="Manual → LegalTriage",E178="LegalTriage → Manual"),F178&lt;&gt;"",ISNUMBER(G178),G178&gt;0,H178="Correcta",J178="Correcta",L178="Sí",ISNUMBER(I178),ISNUMBER(K178),I178&gt;0,K178&gt;0,O178&lt;&gt;"",P178&lt;&gt;""),"Sí","")</f>
        <v/>
      </c>
    </row>
    <row r="179">
      <c r="A179" s="3" t="inlineStr"/>
      <c r="B179" s="3" t="inlineStr"/>
      <c r="C179" s="3" t="inlineStr"/>
      <c r="D179" s="3" t="inlineStr"/>
      <c r="E179" s="3" t="inlineStr"/>
      <c r="F179" s="3" t="inlineStr"/>
      <c r="G179" s="4" t="inlineStr"/>
      <c r="H179" s="3" t="inlineStr"/>
      <c r="I179" s="5" t="inlineStr"/>
      <c r="J179" s="3" t="inlineStr"/>
      <c r="K179" s="5" t="inlineStr"/>
      <c r="L179" s="3" t="inlineStr"/>
      <c r="M179" s="3" t="inlineStr"/>
      <c r="N179" s="3" t="inlineStr"/>
      <c r="O179" s="3" t="inlineStr"/>
      <c r="P179" s="3" t="inlineStr"/>
      <c r="Q179" s="6">
        <f>IF(S179="Sí",I179-K179,"")</f>
        <v/>
      </c>
      <c r="R179" s="7">
        <f>IF(S179="Sí",Q179/I179,"")</f>
        <v/>
      </c>
      <c r="S179" s="8">
        <f>IF(AND('Preparación'!$B$2&lt;&gt;"",'Preparación'!$B$3&lt;&gt;"",COUNTIF(CodigosCasos,B179)=1,COUNTIF(CodigosTareas,C179)=1,COUNTIFS($B$2:$B$201,B179,$C$2:$C$201,C179,$D$2:$D$201,D179)=1,ISNUMBER(D179),D179&gt;0,INT(D179)=D179,D179&lt;=100,OR(E179="Manual → LegalTriage",E179="LegalTriage → Manual"),F179&lt;&gt;"",ISNUMBER(G179),G179&gt;0,H179="Correcta",J179="Correcta",L179="Sí",ISNUMBER(I179),ISNUMBER(K179),I179&gt;0,K179&gt;0,O179&lt;&gt;"",P179&lt;&gt;""),"Sí","")</f>
        <v/>
      </c>
    </row>
    <row r="180">
      <c r="A180" s="3" t="inlineStr"/>
      <c r="B180" s="3" t="inlineStr"/>
      <c r="C180" s="3" t="inlineStr"/>
      <c r="D180" s="3" t="inlineStr"/>
      <c r="E180" s="3" t="inlineStr"/>
      <c r="F180" s="3" t="inlineStr"/>
      <c r="G180" s="4" t="inlineStr"/>
      <c r="H180" s="3" t="inlineStr"/>
      <c r="I180" s="5" t="inlineStr"/>
      <c r="J180" s="3" t="inlineStr"/>
      <c r="K180" s="5" t="inlineStr"/>
      <c r="L180" s="3" t="inlineStr"/>
      <c r="M180" s="3" t="inlineStr"/>
      <c r="N180" s="3" t="inlineStr"/>
      <c r="O180" s="3" t="inlineStr"/>
      <c r="P180" s="3" t="inlineStr"/>
      <c r="Q180" s="6">
        <f>IF(S180="Sí",I180-K180,"")</f>
        <v/>
      </c>
      <c r="R180" s="7">
        <f>IF(S180="Sí",Q180/I180,"")</f>
        <v/>
      </c>
      <c r="S180" s="8">
        <f>IF(AND('Preparación'!$B$2&lt;&gt;"",'Preparación'!$B$3&lt;&gt;"",COUNTIF(CodigosCasos,B180)=1,COUNTIF(CodigosTareas,C180)=1,COUNTIFS($B$2:$B$201,B180,$C$2:$C$201,C180,$D$2:$D$201,D180)=1,ISNUMBER(D180),D180&gt;0,INT(D180)=D180,D180&lt;=100,OR(E180="Manual → LegalTriage",E180="LegalTriage → Manual"),F180&lt;&gt;"",ISNUMBER(G180),G180&gt;0,H180="Correcta",J180="Correcta",L180="Sí",ISNUMBER(I180),ISNUMBER(K180),I180&gt;0,K180&gt;0,O180&lt;&gt;"",P180&lt;&gt;""),"Sí","")</f>
        <v/>
      </c>
    </row>
    <row r="181">
      <c r="A181" s="3" t="inlineStr"/>
      <c r="B181" s="3" t="inlineStr"/>
      <c r="C181" s="3" t="inlineStr"/>
      <c r="D181" s="3" t="inlineStr"/>
      <c r="E181" s="3" t="inlineStr"/>
      <c r="F181" s="3" t="inlineStr"/>
      <c r="G181" s="4" t="inlineStr"/>
      <c r="H181" s="3" t="inlineStr"/>
      <c r="I181" s="5" t="inlineStr"/>
      <c r="J181" s="3" t="inlineStr"/>
      <c r="K181" s="5" t="inlineStr"/>
      <c r="L181" s="3" t="inlineStr"/>
      <c r="M181" s="3" t="inlineStr"/>
      <c r="N181" s="3" t="inlineStr"/>
      <c r="O181" s="3" t="inlineStr"/>
      <c r="P181" s="3" t="inlineStr"/>
      <c r="Q181" s="6">
        <f>IF(S181="Sí",I181-K181,"")</f>
        <v/>
      </c>
      <c r="R181" s="7">
        <f>IF(S181="Sí",Q181/I181,"")</f>
        <v/>
      </c>
      <c r="S181" s="8">
        <f>IF(AND('Preparación'!$B$2&lt;&gt;"",'Preparación'!$B$3&lt;&gt;"",COUNTIF(CodigosCasos,B181)=1,COUNTIF(CodigosTareas,C181)=1,COUNTIFS($B$2:$B$201,B181,$C$2:$C$201,C181,$D$2:$D$201,D181)=1,ISNUMBER(D181),D181&gt;0,INT(D181)=D181,D181&lt;=100,OR(E181="Manual → LegalTriage",E181="LegalTriage → Manual"),F181&lt;&gt;"",ISNUMBER(G181),G181&gt;0,H181="Correcta",J181="Correcta",L181="Sí",ISNUMBER(I181),ISNUMBER(K181),I181&gt;0,K181&gt;0,O181&lt;&gt;"",P181&lt;&gt;""),"Sí","")</f>
        <v/>
      </c>
    </row>
    <row r="182">
      <c r="A182" s="3" t="inlineStr"/>
      <c r="B182" s="3" t="inlineStr"/>
      <c r="C182" s="3" t="inlineStr"/>
      <c r="D182" s="3" t="inlineStr"/>
      <c r="E182" s="3" t="inlineStr"/>
      <c r="F182" s="3" t="inlineStr"/>
      <c r="G182" s="4" t="inlineStr"/>
      <c r="H182" s="3" t="inlineStr"/>
      <c r="I182" s="5" t="inlineStr"/>
      <c r="J182" s="3" t="inlineStr"/>
      <c r="K182" s="5" t="inlineStr"/>
      <c r="L182" s="3" t="inlineStr"/>
      <c r="M182" s="3" t="inlineStr"/>
      <c r="N182" s="3" t="inlineStr"/>
      <c r="O182" s="3" t="inlineStr"/>
      <c r="P182" s="3" t="inlineStr"/>
      <c r="Q182" s="6">
        <f>IF(S182="Sí",I182-K182,"")</f>
        <v/>
      </c>
      <c r="R182" s="7">
        <f>IF(S182="Sí",Q182/I182,"")</f>
        <v/>
      </c>
      <c r="S182" s="8">
        <f>IF(AND('Preparación'!$B$2&lt;&gt;"",'Preparación'!$B$3&lt;&gt;"",COUNTIF(CodigosCasos,B182)=1,COUNTIF(CodigosTareas,C182)=1,COUNTIFS($B$2:$B$201,B182,$C$2:$C$201,C182,$D$2:$D$201,D182)=1,ISNUMBER(D182),D182&gt;0,INT(D182)=D182,D182&lt;=100,OR(E182="Manual → LegalTriage",E182="LegalTriage → Manual"),F182&lt;&gt;"",ISNUMBER(G182),G182&gt;0,H182="Correcta",J182="Correcta",L182="Sí",ISNUMBER(I182),ISNUMBER(K182),I182&gt;0,K182&gt;0,O182&lt;&gt;"",P182&lt;&gt;""),"Sí","")</f>
        <v/>
      </c>
    </row>
    <row r="183">
      <c r="A183" s="3" t="inlineStr"/>
      <c r="B183" s="3" t="inlineStr"/>
      <c r="C183" s="3" t="inlineStr"/>
      <c r="D183" s="3" t="inlineStr"/>
      <c r="E183" s="3" t="inlineStr"/>
      <c r="F183" s="3" t="inlineStr"/>
      <c r="G183" s="4" t="inlineStr"/>
      <c r="H183" s="3" t="inlineStr"/>
      <c r="I183" s="5" t="inlineStr"/>
      <c r="J183" s="3" t="inlineStr"/>
      <c r="K183" s="5" t="inlineStr"/>
      <c r="L183" s="3" t="inlineStr"/>
      <c r="M183" s="3" t="inlineStr"/>
      <c r="N183" s="3" t="inlineStr"/>
      <c r="O183" s="3" t="inlineStr"/>
      <c r="P183" s="3" t="inlineStr"/>
      <c r="Q183" s="6">
        <f>IF(S183="Sí",I183-K183,"")</f>
        <v/>
      </c>
      <c r="R183" s="7">
        <f>IF(S183="Sí",Q183/I183,"")</f>
        <v/>
      </c>
      <c r="S183" s="8">
        <f>IF(AND('Preparación'!$B$2&lt;&gt;"",'Preparación'!$B$3&lt;&gt;"",COUNTIF(CodigosCasos,B183)=1,COUNTIF(CodigosTareas,C183)=1,COUNTIFS($B$2:$B$201,B183,$C$2:$C$201,C183,$D$2:$D$201,D183)=1,ISNUMBER(D183),D183&gt;0,INT(D183)=D183,D183&lt;=100,OR(E183="Manual → LegalTriage",E183="LegalTriage → Manual"),F183&lt;&gt;"",ISNUMBER(G183),G183&gt;0,H183="Correcta",J183="Correcta",L183="Sí",ISNUMBER(I183),ISNUMBER(K183),I183&gt;0,K183&gt;0,O183&lt;&gt;"",P183&lt;&gt;""),"Sí","")</f>
        <v/>
      </c>
    </row>
    <row r="184">
      <c r="A184" s="3" t="inlineStr"/>
      <c r="B184" s="3" t="inlineStr"/>
      <c r="C184" s="3" t="inlineStr"/>
      <c r="D184" s="3" t="inlineStr"/>
      <c r="E184" s="3" t="inlineStr"/>
      <c r="F184" s="3" t="inlineStr"/>
      <c r="G184" s="4" t="inlineStr"/>
      <c r="H184" s="3" t="inlineStr"/>
      <c r="I184" s="5" t="inlineStr"/>
      <c r="J184" s="3" t="inlineStr"/>
      <c r="K184" s="5" t="inlineStr"/>
      <c r="L184" s="3" t="inlineStr"/>
      <c r="M184" s="3" t="inlineStr"/>
      <c r="N184" s="3" t="inlineStr"/>
      <c r="O184" s="3" t="inlineStr"/>
      <c r="P184" s="3" t="inlineStr"/>
      <c r="Q184" s="6">
        <f>IF(S184="Sí",I184-K184,"")</f>
        <v/>
      </c>
      <c r="R184" s="7">
        <f>IF(S184="Sí",Q184/I184,"")</f>
        <v/>
      </c>
      <c r="S184" s="8">
        <f>IF(AND('Preparación'!$B$2&lt;&gt;"",'Preparación'!$B$3&lt;&gt;"",COUNTIF(CodigosCasos,B184)=1,COUNTIF(CodigosTareas,C184)=1,COUNTIFS($B$2:$B$201,B184,$C$2:$C$201,C184,$D$2:$D$201,D184)=1,ISNUMBER(D184),D184&gt;0,INT(D184)=D184,D184&lt;=100,OR(E184="Manual → LegalTriage",E184="LegalTriage → Manual"),F184&lt;&gt;"",ISNUMBER(G184),G184&gt;0,H184="Correcta",J184="Correcta",L184="Sí",ISNUMBER(I184),ISNUMBER(K184),I184&gt;0,K184&gt;0,O184&lt;&gt;"",P184&lt;&gt;""),"Sí","")</f>
        <v/>
      </c>
    </row>
    <row r="185">
      <c r="A185" s="3" t="inlineStr"/>
      <c r="B185" s="3" t="inlineStr"/>
      <c r="C185" s="3" t="inlineStr"/>
      <c r="D185" s="3" t="inlineStr"/>
      <c r="E185" s="3" t="inlineStr"/>
      <c r="F185" s="3" t="inlineStr"/>
      <c r="G185" s="4" t="inlineStr"/>
      <c r="H185" s="3" t="inlineStr"/>
      <c r="I185" s="5" t="inlineStr"/>
      <c r="J185" s="3" t="inlineStr"/>
      <c r="K185" s="5" t="inlineStr"/>
      <c r="L185" s="3" t="inlineStr"/>
      <c r="M185" s="3" t="inlineStr"/>
      <c r="N185" s="3" t="inlineStr"/>
      <c r="O185" s="3" t="inlineStr"/>
      <c r="P185" s="3" t="inlineStr"/>
      <c r="Q185" s="6">
        <f>IF(S185="Sí",I185-K185,"")</f>
        <v/>
      </c>
      <c r="R185" s="7">
        <f>IF(S185="Sí",Q185/I185,"")</f>
        <v/>
      </c>
      <c r="S185" s="8">
        <f>IF(AND('Preparación'!$B$2&lt;&gt;"",'Preparación'!$B$3&lt;&gt;"",COUNTIF(CodigosCasos,B185)=1,COUNTIF(CodigosTareas,C185)=1,COUNTIFS($B$2:$B$201,B185,$C$2:$C$201,C185,$D$2:$D$201,D185)=1,ISNUMBER(D185),D185&gt;0,INT(D185)=D185,D185&lt;=100,OR(E185="Manual → LegalTriage",E185="LegalTriage → Manual"),F185&lt;&gt;"",ISNUMBER(G185),G185&gt;0,H185="Correcta",J185="Correcta",L185="Sí",ISNUMBER(I185),ISNUMBER(K185),I185&gt;0,K185&gt;0,O185&lt;&gt;"",P185&lt;&gt;""),"Sí","")</f>
        <v/>
      </c>
    </row>
    <row r="186">
      <c r="A186" s="3" t="inlineStr"/>
      <c r="B186" s="3" t="inlineStr"/>
      <c r="C186" s="3" t="inlineStr"/>
      <c r="D186" s="3" t="inlineStr"/>
      <c r="E186" s="3" t="inlineStr"/>
      <c r="F186" s="3" t="inlineStr"/>
      <c r="G186" s="4" t="inlineStr"/>
      <c r="H186" s="3" t="inlineStr"/>
      <c r="I186" s="5" t="inlineStr"/>
      <c r="J186" s="3" t="inlineStr"/>
      <c r="K186" s="5" t="inlineStr"/>
      <c r="L186" s="3" t="inlineStr"/>
      <c r="M186" s="3" t="inlineStr"/>
      <c r="N186" s="3" t="inlineStr"/>
      <c r="O186" s="3" t="inlineStr"/>
      <c r="P186" s="3" t="inlineStr"/>
      <c r="Q186" s="6">
        <f>IF(S186="Sí",I186-K186,"")</f>
        <v/>
      </c>
      <c r="R186" s="7">
        <f>IF(S186="Sí",Q186/I186,"")</f>
        <v/>
      </c>
      <c r="S186" s="8">
        <f>IF(AND('Preparación'!$B$2&lt;&gt;"",'Preparación'!$B$3&lt;&gt;"",COUNTIF(CodigosCasos,B186)=1,COUNTIF(CodigosTareas,C186)=1,COUNTIFS($B$2:$B$201,B186,$C$2:$C$201,C186,$D$2:$D$201,D186)=1,ISNUMBER(D186),D186&gt;0,INT(D186)=D186,D186&lt;=100,OR(E186="Manual → LegalTriage",E186="LegalTriage → Manual"),F186&lt;&gt;"",ISNUMBER(G186),G186&gt;0,H186="Correcta",J186="Correcta",L186="Sí",ISNUMBER(I186),ISNUMBER(K186),I186&gt;0,K186&gt;0,O186&lt;&gt;"",P186&lt;&gt;""),"Sí","")</f>
        <v/>
      </c>
    </row>
    <row r="187">
      <c r="A187" s="3" t="inlineStr"/>
      <c r="B187" s="3" t="inlineStr"/>
      <c r="C187" s="3" t="inlineStr"/>
      <c r="D187" s="3" t="inlineStr"/>
      <c r="E187" s="3" t="inlineStr"/>
      <c r="F187" s="3" t="inlineStr"/>
      <c r="G187" s="4" t="inlineStr"/>
      <c r="H187" s="3" t="inlineStr"/>
      <c r="I187" s="5" t="inlineStr"/>
      <c r="J187" s="3" t="inlineStr"/>
      <c r="K187" s="5" t="inlineStr"/>
      <c r="L187" s="3" t="inlineStr"/>
      <c r="M187" s="3" t="inlineStr"/>
      <c r="N187" s="3" t="inlineStr"/>
      <c r="O187" s="3" t="inlineStr"/>
      <c r="P187" s="3" t="inlineStr"/>
      <c r="Q187" s="6">
        <f>IF(S187="Sí",I187-K187,"")</f>
        <v/>
      </c>
      <c r="R187" s="7">
        <f>IF(S187="Sí",Q187/I187,"")</f>
        <v/>
      </c>
      <c r="S187" s="8">
        <f>IF(AND('Preparación'!$B$2&lt;&gt;"",'Preparación'!$B$3&lt;&gt;"",COUNTIF(CodigosCasos,B187)=1,COUNTIF(CodigosTareas,C187)=1,COUNTIFS($B$2:$B$201,B187,$C$2:$C$201,C187,$D$2:$D$201,D187)=1,ISNUMBER(D187),D187&gt;0,INT(D187)=D187,D187&lt;=100,OR(E187="Manual → LegalTriage",E187="LegalTriage → Manual"),F187&lt;&gt;"",ISNUMBER(G187),G187&gt;0,H187="Correcta",J187="Correcta",L187="Sí",ISNUMBER(I187),ISNUMBER(K187),I187&gt;0,K187&gt;0,O187&lt;&gt;"",P187&lt;&gt;""),"Sí","")</f>
        <v/>
      </c>
    </row>
    <row r="188">
      <c r="A188" s="3" t="inlineStr"/>
      <c r="B188" s="3" t="inlineStr"/>
      <c r="C188" s="3" t="inlineStr"/>
      <c r="D188" s="3" t="inlineStr"/>
      <c r="E188" s="3" t="inlineStr"/>
      <c r="F188" s="3" t="inlineStr"/>
      <c r="G188" s="4" t="inlineStr"/>
      <c r="H188" s="3" t="inlineStr"/>
      <c r="I188" s="5" t="inlineStr"/>
      <c r="J188" s="3" t="inlineStr"/>
      <c r="K188" s="5" t="inlineStr"/>
      <c r="L188" s="3" t="inlineStr"/>
      <c r="M188" s="3" t="inlineStr"/>
      <c r="N188" s="3" t="inlineStr"/>
      <c r="O188" s="3" t="inlineStr"/>
      <c r="P188" s="3" t="inlineStr"/>
      <c r="Q188" s="6">
        <f>IF(S188="Sí",I188-K188,"")</f>
        <v/>
      </c>
      <c r="R188" s="7">
        <f>IF(S188="Sí",Q188/I188,"")</f>
        <v/>
      </c>
      <c r="S188" s="8">
        <f>IF(AND('Preparación'!$B$2&lt;&gt;"",'Preparación'!$B$3&lt;&gt;"",COUNTIF(CodigosCasos,B188)=1,COUNTIF(CodigosTareas,C188)=1,COUNTIFS($B$2:$B$201,B188,$C$2:$C$201,C188,$D$2:$D$201,D188)=1,ISNUMBER(D188),D188&gt;0,INT(D188)=D188,D188&lt;=100,OR(E188="Manual → LegalTriage",E188="LegalTriage → Manual"),F188&lt;&gt;"",ISNUMBER(G188),G188&gt;0,H188="Correcta",J188="Correcta",L188="Sí",ISNUMBER(I188),ISNUMBER(K188),I188&gt;0,K188&gt;0,O188&lt;&gt;"",P188&lt;&gt;""),"Sí","")</f>
        <v/>
      </c>
    </row>
    <row r="189">
      <c r="A189" s="3" t="inlineStr"/>
      <c r="B189" s="3" t="inlineStr"/>
      <c r="C189" s="3" t="inlineStr"/>
      <c r="D189" s="3" t="inlineStr"/>
      <c r="E189" s="3" t="inlineStr"/>
      <c r="F189" s="3" t="inlineStr"/>
      <c r="G189" s="4" t="inlineStr"/>
      <c r="H189" s="3" t="inlineStr"/>
      <c r="I189" s="5" t="inlineStr"/>
      <c r="J189" s="3" t="inlineStr"/>
      <c r="K189" s="5" t="inlineStr"/>
      <c r="L189" s="3" t="inlineStr"/>
      <c r="M189" s="3" t="inlineStr"/>
      <c r="N189" s="3" t="inlineStr"/>
      <c r="O189" s="3" t="inlineStr"/>
      <c r="P189" s="3" t="inlineStr"/>
      <c r="Q189" s="6">
        <f>IF(S189="Sí",I189-K189,"")</f>
        <v/>
      </c>
      <c r="R189" s="7">
        <f>IF(S189="Sí",Q189/I189,"")</f>
        <v/>
      </c>
      <c r="S189" s="8">
        <f>IF(AND('Preparación'!$B$2&lt;&gt;"",'Preparación'!$B$3&lt;&gt;"",COUNTIF(CodigosCasos,B189)=1,COUNTIF(CodigosTareas,C189)=1,COUNTIFS($B$2:$B$201,B189,$C$2:$C$201,C189,$D$2:$D$201,D189)=1,ISNUMBER(D189),D189&gt;0,INT(D189)=D189,D189&lt;=100,OR(E189="Manual → LegalTriage",E189="LegalTriage → Manual"),F189&lt;&gt;"",ISNUMBER(G189),G189&gt;0,H189="Correcta",J189="Correcta",L189="Sí",ISNUMBER(I189),ISNUMBER(K189),I189&gt;0,K189&gt;0,O189&lt;&gt;"",P189&lt;&gt;""),"Sí","")</f>
        <v/>
      </c>
    </row>
    <row r="190">
      <c r="A190" s="3" t="inlineStr"/>
      <c r="B190" s="3" t="inlineStr"/>
      <c r="C190" s="3" t="inlineStr"/>
      <c r="D190" s="3" t="inlineStr"/>
      <c r="E190" s="3" t="inlineStr"/>
      <c r="F190" s="3" t="inlineStr"/>
      <c r="G190" s="4" t="inlineStr"/>
      <c r="H190" s="3" t="inlineStr"/>
      <c r="I190" s="5" t="inlineStr"/>
      <c r="J190" s="3" t="inlineStr"/>
      <c r="K190" s="5" t="inlineStr"/>
      <c r="L190" s="3" t="inlineStr"/>
      <c r="M190" s="3" t="inlineStr"/>
      <c r="N190" s="3" t="inlineStr"/>
      <c r="O190" s="3" t="inlineStr"/>
      <c r="P190" s="3" t="inlineStr"/>
      <c r="Q190" s="6">
        <f>IF(S190="Sí",I190-K190,"")</f>
        <v/>
      </c>
      <c r="R190" s="7">
        <f>IF(S190="Sí",Q190/I190,"")</f>
        <v/>
      </c>
      <c r="S190" s="8">
        <f>IF(AND('Preparación'!$B$2&lt;&gt;"",'Preparación'!$B$3&lt;&gt;"",COUNTIF(CodigosCasos,B190)=1,COUNTIF(CodigosTareas,C190)=1,COUNTIFS($B$2:$B$201,B190,$C$2:$C$201,C190,$D$2:$D$201,D190)=1,ISNUMBER(D190),D190&gt;0,INT(D190)=D190,D190&lt;=100,OR(E190="Manual → LegalTriage",E190="LegalTriage → Manual"),F190&lt;&gt;"",ISNUMBER(G190),G190&gt;0,H190="Correcta",J190="Correcta",L190="Sí",ISNUMBER(I190),ISNUMBER(K190),I190&gt;0,K190&gt;0,O190&lt;&gt;"",P190&lt;&gt;""),"Sí","")</f>
        <v/>
      </c>
    </row>
    <row r="191">
      <c r="A191" s="3" t="inlineStr"/>
      <c r="B191" s="3" t="inlineStr"/>
      <c r="C191" s="3" t="inlineStr"/>
      <c r="D191" s="3" t="inlineStr"/>
      <c r="E191" s="3" t="inlineStr"/>
      <c r="F191" s="3" t="inlineStr"/>
      <c r="G191" s="4" t="inlineStr"/>
      <c r="H191" s="3" t="inlineStr"/>
      <c r="I191" s="5" t="inlineStr"/>
      <c r="J191" s="3" t="inlineStr"/>
      <c r="K191" s="5" t="inlineStr"/>
      <c r="L191" s="3" t="inlineStr"/>
      <c r="M191" s="3" t="inlineStr"/>
      <c r="N191" s="3" t="inlineStr"/>
      <c r="O191" s="3" t="inlineStr"/>
      <c r="P191" s="3" t="inlineStr"/>
      <c r="Q191" s="6">
        <f>IF(S191="Sí",I191-K191,"")</f>
        <v/>
      </c>
      <c r="R191" s="7">
        <f>IF(S191="Sí",Q191/I191,"")</f>
        <v/>
      </c>
      <c r="S191" s="8">
        <f>IF(AND('Preparación'!$B$2&lt;&gt;"",'Preparación'!$B$3&lt;&gt;"",COUNTIF(CodigosCasos,B191)=1,COUNTIF(CodigosTareas,C191)=1,COUNTIFS($B$2:$B$201,B191,$C$2:$C$201,C191,$D$2:$D$201,D191)=1,ISNUMBER(D191),D191&gt;0,INT(D191)=D191,D191&lt;=100,OR(E191="Manual → LegalTriage",E191="LegalTriage → Manual"),F191&lt;&gt;"",ISNUMBER(G191),G191&gt;0,H191="Correcta",J191="Correcta",L191="Sí",ISNUMBER(I191),ISNUMBER(K191),I191&gt;0,K191&gt;0,O191&lt;&gt;"",P191&lt;&gt;""),"Sí","")</f>
        <v/>
      </c>
    </row>
    <row r="192">
      <c r="A192" s="3" t="inlineStr"/>
      <c r="B192" s="3" t="inlineStr"/>
      <c r="C192" s="3" t="inlineStr"/>
      <c r="D192" s="3" t="inlineStr"/>
      <c r="E192" s="3" t="inlineStr"/>
      <c r="F192" s="3" t="inlineStr"/>
      <c r="G192" s="4" t="inlineStr"/>
      <c r="H192" s="3" t="inlineStr"/>
      <c r="I192" s="5" t="inlineStr"/>
      <c r="J192" s="3" t="inlineStr"/>
      <c r="K192" s="5" t="inlineStr"/>
      <c r="L192" s="3" t="inlineStr"/>
      <c r="M192" s="3" t="inlineStr"/>
      <c r="N192" s="3" t="inlineStr"/>
      <c r="O192" s="3" t="inlineStr"/>
      <c r="P192" s="3" t="inlineStr"/>
      <c r="Q192" s="6">
        <f>IF(S192="Sí",I192-K192,"")</f>
        <v/>
      </c>
      <c r="R192" s="7">
        <f>IF(S192="Sí",Q192/I192,"")</f>
        <v/>
      </c>
      <c r="S192" s="8">
        <f>IF(AND('Preparación'!$B$2&lt;&gt;"",'Preparación'!$B$3&lt;&gt;"",COUNTIF(CodigosCasos,B192)=1,COUNTIF(CodigosTareas,C192)=1,COUNTIFS($B$2:$B$201,B192,$C$2:$C$201,C192,$D$2:$D$201,D192)=1,ISNUMBER(D192),D192&gt;0,INT(D192)=D192,D192&lt;=100,OR(E192="Manual → LegalTriage",E192="LegalTriage → Manual"),F192&lt;&gt;"",ISNUMBER(G192),G192&gt;0,H192="Correcta",J192="Correcta",L192="Sí",ISNUMBER(I192),ISNUMBER(K192),I192&gt;0,K192&gt;0,O192&lt;&gt;"",P192&lt;&gt;""),"Sí","")</f>
        <v/>
      </c>
    </row>
    <row r="193">
      <c r="A193" s="3" t="inlineStr"/>
      <c r="B193" s="3" t="inlineStr"/>
      <c r="C193" s="3" t="inlineStr"/>
      <c r="D193" s="3" t="inlineStr"/>
      <c r="E193" s="3" t="inlineStr"/>
      <c r="F193" s="3" t="inlineStr"/>
      <c r="G193" s="4" t="inlineStr"/>
      <c r="H193" s="3" t="inlineStr"/>
      <c r="I193" s="5" t="inlineStr"/>
      <c r="J193" s="3" t="inlineStr"/>
      <c r="K193" s="5" t="inlineStr"/>
      <c r="L193" s="3" t="inlineStr"/>
      <c r="M193" s="3" t="inlineStr"/>
      <c r="N193" s="3" t="inlineStr"/>
      <c r="O193" s="3" t="inlineStr"/>
      <c r="P193" s="3" t="inlineStr"/>
      <c r="Q193" s="6">
        <f>IF(S193="Sí",I193-K193,"")</f>
        <v/>
      </c>
      <c r="R193" s="7">
        <f>IF(S193="Sí",Q193/I193,"")</f>
        <v/>
      </c>
      <c r="S193" s="8">
        <f>IF(AND('Preparación'!$B$2&lt;&gt;"",'Preparación'!$B$3&lt;&gt;"",COUNTIF(CodigosCasos,B193)=1,COUNTIF(CodigosTareas,C193)=1,COUNTIFS($B$2:$B$201,B193,$C$2:$C$201,C193,$D$2:$D$201,D193)=1,ISNUMBER(D193),D193&gt;0,INT(D193)=D193,D193&lt;=100,OR(E193="Manual → LegalTriage",E193="LegalTriage → Manual"),F193&lt;&gt;"",ISNUMBER(G193),G193&gt;0,H193="Correcta",J193="Correcta",L193="Sí",ISNUMBER(I193),ISNUMBER(K193),I193&gt;0,K193&gt;0,O193&lt;&gt;"",P193&lt;&gt;""),"Sí","")</f>
        <v/>
      </c>
    </row>
    <row r="194">
      <c r="A194" s="3" t="inlineStr"/>
      <c r="B194" s="3" t="inlineStr"/>
      <c r="C194" s="3" t="inlineStr"/>
      <c r="D194" s="3" t="inlineStr"/>
      <c r="E194" s="3" t="inlineStr"/>
      <c r="F194" s="3" t="inlineStr"/>
      <c r="G194" s="4" t="inlineStr"/>
      <c r="H194" s="3" t="inlineStr"/>
      <c r="I194" s="5" t="inlineStr"/>
      <c r="J194" s="3" t="inlineStr"/>
      <c r="K194" s="5" t="inlineStr"/>
      <c r="L194" s="3" t="inlineStr"/>
      <c r="M194" s="3" t="inlineStr"/>
      <c r="N194" s="3" t="inlineStr"/>
      <c r="O194" s="3" t="inlineStr"/>
      <c r="P194" s="3" t="inlineStr"/>
      <c r="Q194" s="6">
        <f>IF(S194="Sí",I194-K194,"")</f>
        <v/>
      </c>
      <c r="R194" s="7">
        <f>IF(S194="Sí",Q194/I194,"")</f>
        <v/>
      </c>
      <c r="S194" s="8">
        <f>IF(AND('Preparación'!$B$2&lt;&gt;"",'Preparación'!$B$3&lt;&gt;"",COUNTIF(CodigosCasos,B194)=1,COUNTIF(CodigosTareas,C194)=1,COUNTIFS($B$2:$B$201,B194,$C$2:$C$201,C194,$D$2:$D$201,D194)=1,ISNUMBER(D194),D194&gt;0,INT(D194)=D194,D194&lt;=100,OR(E194="Manual → LegalTriage",E194="LegalTriage → Manual"),F194&lt;&gt;"",ISNUMBER(G194),G194&gt;0,H194="Correcta",J194="Correcta",L194="Sí",ISNUMBER(I194),ISNUMBER(K194),I194&gt;0,K194&gt;0,O194&lt;&gt;"",P194&lt;&gt;""),"Sí","")</f>
        <v/>
      </c>
    </row>
    <row r="195">
      <c r="A195" s="3" t="inlineStr"/>
      <c r="B195" s="3" t="inlineStr"/>
      <c r="C195" s="3" t="inlineStr"/>
      <c r="D195" s="3" t="inlineStr"/>
      <c r="E195" s="3" t="inlineStr"/>
      <c r="F195" s="3" t="inlineStr"/>
      <c r="G195" s="4" t="inlineStr"/>
      <c r="H195" s="3" t="inlineStr"/>
      <c r="I195" s="5" t="inlineStr"/>
      <c r="J195" s="3" t="inlineStr"/>
      <c r="K195" s="5" t="inlineStr"/>
      <c r="L195" s="3" t="inlineStr"/>
      <c r="M195" s="3" t="inlineStr"/>
      <c r="N195" s="3" t="inlineStr"/>
      <c r="O195" s="3" t="inlineStr"/>
      <c r="P195" s="3" t="inlineStr"/>
      <c r="Q195" s="6">
        <f>IF(S195="Sí",I195-K195,"")</f>
        <v/>
      </c>
      <c r="R195" s="7">
        <f>IF(S195="Sí",Q195/I195,"")</f>
        <v/>
      </c>
      <c r="S195" s="8">
        <f>IF(AND('Preparación'!$B$2&lt;&gt;"",'Preparación'!$B$3&lt;&gt;"",COUNTIF(CodigosCasos,B195)=1,COUNTIF(CodigosTareas,C195)=1,COUNTIFS($B$2:$B$201,B195,$C$2:$C$201,C195,$D$2:$D$201,D195)=1,ISNUMBER(D195),D195&gt;0,INT(D195)=D195,D195&lt;=100,OR(E195="Manual → LegalTriage",E195="LegalTriage → Manual"),F195&lt;&gt;"",ISNUMBER(G195),G195&gt;0,H195="Correcta",J195="Correcta",L195="Sí",ISNUMBER(I195),ISNUMBER(K195),I195&gt;0,K195&gt;0,O195&lt;&gt;"",P195&lt;&gt;""),"Sí","")</f>
        <v/>
      </c>
    </row>
    <row r="196">
      <c r="A196" s="3" t="inlineStr"/>
      <c r="B196" s="3" t="inlineStr"/>
      <c r="C196" s="3" t="inlineStr"/>
      <c r="D196" s="3" t="inlineStr"/>
      <c r="E196" s="3" t="inlineStr"/>
      <c r="F196" s="3" t="inlineStr"/>
      <c r="G196" s="4" t="inlineStr"/>
      <c r="H196" s="3" t="inlineStr"/>
      <c r="I196" s="5" t="inlineStr"/>
      <c r="J196" s="3" t="inlineStr"/>
      <c r="K196" s="5" t="inlineStr"/>
      <c r="L196" s="3" t="inlineStr"/>
      <c r="M196" s="3" t="inlineStr"/>
      <c r="N196" s="3" t="inlineStr"/>
      <c r="O196" s="3" t="inlineStr"/>
      <c r="P196" s="3" t="inlineStr"/>
      <c r="Q196" s="6">
        <f>IF(S196="Sí",I196-K196,"")</f>
        <v/>
      </c>
      <c r="R196" s="7">
        <f>IF(S196="Sí",Q196/I196,"")</f>
        <v/>
      </c>
      <c r="S196" s="8">
        <f>IF(AND('Preparación'!$B$2&lt;&gt;"",'Preparación'!$B$3&lt;&gt;"",COUNTIF(CodigosCasos,B196)=1,COUNTIF(CodigosTareas,C196)=1,COUNTIFS($B$2:$B$201,B196,$C$2:$C$201,C196,$D$2:$D$201,D196)=1,ISNUMBER(D196),D196&gt;0,INT(D196)=D196,D196&lt;=100,OR(E196="Manual → LegalTriage",E196="LegalTriage → Manual"),F196&lt;&gt;"",ISNUMBER(G196),G196&gt;0,H196="Correcta",J196="Correcta",L196="Sí",ISNUMBER(I196),ISNUMBER(K196),I196&gt;0,K196&gt;0,O196&lt;&gt;"",P196&lt;&gt;""),"Sí","")</f>
        <v/>
      </c>
    </row>
    <row r="197">
      <c r="A197" s="3" t="inlineStr"/>
      <c r="B197" s="3" t="inlineStr"/>
      <c r="C197" s="3" t="inlineStr"/>
      <c r="D197" s="3" t="inlineStr"/>
      <c r="E197" s="3" t="inlineStr"/>
      <c r="F197" s="3" t="inlineStr"/>
      <c r="G197" s="4" t="inlineStr"/>
      <c r="H197" s="3" t="inlineStr"/>
      <c r="I197" s="5" t="inlineStr"/>
      <c r="J197" s="3" t="inlineStr"/>
      <c r="K197" s="5" t="inlineStr"/>
      <c r="L197" s="3" t="inlineStr"/>
      <c r="M197" s="3" t="inlineStr"/>
      <c r="N197" s="3" t="inlineStr"/>
      <c r="O197" s="3" t="inlineStr"/>
      <c r="P197" s="3" t="inlineStr"/>
      <c r="Q197" s="6">
        <f>IF(S197="Sí",I197-K197,"")</f>
        <v/>
      </c>
      <c r="R197" s="7">
        <f>IF(S197="Sí",Q197/I197,"")</f>
        <v/>
      </c>
      <c r="S197" s="8">
        <f>IF(AND('Preparación'!$B$2&lt;&gt;"",'Preparación'!$B$3&lt;&gt;"",COUNTIF(CodigosCasos,B197)=1,COUNTIF(CodigosTareas,C197)=1,COUNTIFS($B$2:$B$201,B197,$C$2:$C$201,C197,$D$2:$D$201,D197)=1,ISNUMBER(D197),D197&gt;0,INT(D197)=D197,D197&lt;=100,OR(E197="Manual → LegalTriage",E197="LegalTriage → Manual"),F197&lt;&gt;"",ISNUMBER(G197),G197&gt;0,H197="Correcta",J197="Correcta",L197="Sí",ISNUMBER(I197),ISNUMBER(K197),I197&gt;0,K197&gt;0,O197&lt;&gt;"",P197&lt;&gt;""),"Sí","")</f>
        <v/>
      </c>
    </row>
    <row r="198">
      <c r="A198" s="3" t="inlineStr"/>
      <c r="B198" s="3" t="inlineStr"/>
      <c r="C198" s="3" t="inlineStr"/>
      <c r="D198" s="3" t="inlineStr"/>
      <c r="E198" s="3" t="inlineStr"/>
      <c r="F198" s="3" t="inlineStr"/>
      <c r="G198" s="4" t="inlineStr"/>
      <c r="H198" s="3" t="inlineStr"/>
      <c r="I198" s="5" t="inlineStr"/>
      <c r="J198" s="3" t="inlineStr"/>
      <c r="K198" s="5" t="inlineStr"/>
      <c r="L198" s="3" t="inlineStr"/>
      <c r="M198" s="3" t="inlineStr"/>
      <c r="N198" s="3" t="inlineStr"/>
      <c r="O198" s="3" t="inlineStr"/>
      <c r="P198" s="3" t="inlineStr"/>
      <c r="Q198" s="6">
        <f>IF(S198="Sí",I198-K198,"")</f>
        <v/>
      </c>
      <c r="R198" s="7">
        <f>IF(S198="Sí",Q198/I198,"")</f>
        <v/>
      </c>
      <c r="S198" s="8">
        <f>IF(AND('Preparación'!$B$2&lt;&gt;"",'Preparación'!$B$3&lt;&gt;"",COUNTIF(CodigosCasos,B198)=1,COUNTIF(CodigosTareas,C198)=1,COUNTIFS($B$2:$B$201,B198,$C$2:$C$201,C198,$D$2:$D$201,D198)=1,ISNUMBER(D198),D198&gt;0,INT(D198)=D198,D198&lt;=100,OR(E198="Manual → LegalTriage",E198="LegalTriage → Manual"),F198&lt;&gt;"",ISNUMBER(G198),G198&gt;0,H198="Correcta",J198="Correcta",L198="Sí",ISNUMBER(I198),ISNUMBER(K198),I198&gt;0,K198&gt;0,O198&lt;&gt;"",P198&lt;&gt;""),"Sí","")</f>
        <v/>
      </c>
    </row>
    <row r="199">
      <c r="A199" s="3" t="inlineStr"/>
      <c r="B199" s="3" t="inlineStr"/>
      <c r="C199" s="3" t="inlineStr"/>
      <c r="D199" s="3" t="inlineStr"/>
      <c r="E199" s="3" t="inlineStr"/>
      <c r="F199" s="3" t="inlineStr"/>
      <c r="G199" s="4" t="inlineStr"/>
      <c r="H199" s="3" t="inlineStr"/>
      <c r="I199" s="5" t="inlineStr"/>
      <c r="J199" s="3" t="inlineStr"/>
      <c r="K199" s="5" t="inlineStr"/>
      <c r="L199" s="3" t="inlineStr"/>
      <c r="M199" s="3" t="inlineStr"/>
      <c r="N199" s="3" t="inlineStr"/>
      <c r="O199" s="3" t="inlineStr"/>
      <c r="P199" s="3" t="inlineStr"/>
      <c r="Q199" s="6">
        <f>IF(S199="Sí",I199-K199,"")</f>
        <v/>
      </c>
      <c r="R199" s="7">
        <f>IF(S199="Sí",Q199/I199,"")</f>
        <v/>
      </c>
      <c r="S199" s="8">
        <f>IF(AND('Preparación'!$B$2&lt;&gt;"",'Preparación'!$B$3&lt;&gt;"",COUNTIF(CodigosCasos,B199)=1,COUNTIF(CodigosTareas,C199)=1,COUNTIFS($B$2:$B$201,B199,$C$2:$C$201,C199,$D$2:$D$201,D199)=1,ISNUMBER(D199),D199&gt;0,INT(D199)=D199,D199&lt;=100,OR(E199="Manual → LegalTriage",E199="LegalTriage → Manual"),F199&lt;&gt;"",ISNUMBER(G199),G199&gt;0,H199="Correcta",J199="Correcta",L199="Sí",ISNUMBER(I199),ISNUMBER(K199),I199&gt;0,K199&gt;0,O199&lt;&gt;"",P199&lt;&gt;""),"Sí","")</f>
        <v/>
      </c>
    </row>
    <row r="200">
      <c r="A200" s="3" t="inlineStr"/>
      <c r="B200" s="3" t="inlineStr"/>
      <c r="C200" s="3" t="inlineStr"/>
      <c r="D200" s="3" t="inlineStr"/>
      <c r="E200" s="3" t="inlineStr"/>
      <c r="F200" s="3" t="inlineStr"/>
      <c r="G200" s="4" t="inlineStr"/>
      <c r="H200" s="3" t="inlineStr"/>
      <c r="I200" s="5" t="inlineStr"/>
      <c r="J200" s="3" t="inlineStr"/>
      <c r="K200" s="5" t="inlineStr"/>
      <c r="L200" s="3" t="inlineStr"/>
      <c r="M200" s="3" t="inlineStr"/>
      <c r="N200" s="3" t="inlineStr"/>
      <c r="O200" s="3" t="inlineStr"/>
      <c r="P200" s="3" t="inlineStr"/>
      <c r="Q200" s="6">
        <f>IF(S200="Sí",I200-K200,"")</f>
        <v/>
      </c>
      <c r="R200" s="7">
        <f>IF(S200="Sí",Q200/I200,"")</f>
        <v/>
      </c>
      <c r="S200" s="8">
        <f>IF(AND('Preparación'!$B$2&lt;&gt;"",'Preparación'!$B$3&lt;&gt;"",COUNTIF(CodigosCasos,B200)=1,COUNTIF(CodigosTareas,C200)=1,COUNTIFS($B$2:$B$201,B200,$C$2:$C$201,C200,$D$2:$D$201,D200)=1,ISNUMBER(D200),D200&gt;0,INT(D200)=D200,D200&lt;=100,OR(E200="Manual → LegalTriage",E200="LegalTriage → Manual"),F200&lt;&gt;"",ISNUMBER(G200),G200&gt;0,H200="Correcta",J200="Correcta",L200="Sí",ISNUMBER(I200),ISNUMBER(K200),I200&gt;0,K200&gt;0,O200&lt;&gt;"",P200&lt;&gt;""),"Sí","")</f>
        <v/>
      </c>
    </row>
    <row r="201">
      <c r="A201" s="3" t="inlineStr"/>
      <c r="B201" s="3" t="inlineStr"/>
      <c r="C201" s="3" t="inlineStr"/>
      <c r="D201" s="3" t="inlineStr"/>
      <c r="E201" s="3" t="inlineStr"/>
      <c r="F201" s="3" t="inlineStr"/>
      <c r="G201" s="4" t="inlineStr"/>
      <c r="H201" s="3" t="inlineStr"/>
      <c r="I201" s="5" t="inlineStr"/>
      <c r="J201" s="3" t="inlineStr"/>
      <c r="K201" s="5" t="inlineStr"/>
      <c r="L201" s="3" t="inlineStr"/>
      <c r="M201" s="3" t="inlineStr"/>
      <c r="N201" s="3" t="inlineStr"/>
      <c r="O201" s="3" t="inlineStr"/>
      <c r="P201" s="3" t="inlineStr"/>
      <c r="Q201" s="6">
        <f>IF(S201="Sí",I201-K201,"")</f>
        <v/>
      </c>
      <c r="R201" s="7">
        <f>IF(S201="Sí",Q201/I201,"")</f>
        <v/>
      </c>
      <c r="S201" s="8">
        <f>IF(AND('Preparación'!$B$2&lt;&gt;"",'Preparación'!$B$3&lt;&gt;"",COUNTIF(CodigosCasos,B201)=1,COUNTIF(CodigosTareas,C201)=1,COUNTIFS($B$2:$B$201,B201,$C$2:$C$201,C201,$D$2:$D$201,D201)=1,ISNUMBER(D201),D201&gt;0,INT(D201)=D201,D201&lt;=100,OR(E201="Manual → LegalTriage",E201="LegalTriage → Manual"),F201&lt;&gt;"",ISNUMBER(G201),G201&gt;0,H201="Correcta",J201="Correcta",L201="Sí",ISNUMBER(I201),ISNUMBER(K201),I201&gt;0,K201&gt;0,O201&lt;&gt;"",P201&lt;&gt;""),"Sí","")</f>
        <v/>
      </c>
    </row>
  </sheetData>
  <autoFilter ref="A1:S201"/>
  <dataValidations count="7">
    <dataValidation sqref="B2:B201" showDropDown="0" showInputMessage="0" showErrorMessage="1" allowBlank="1" errorTitle="Revisa este dato" error="Usa un valor permitido y conserva los campos sin medir vacíos." type="list" errorStyle="stop">
      <formula1>=CodigosCasos</formula1>
    </dataValidation>
    <dataValidation sqref="C2:C201" showDropDown="0" showInputMessage="0" showErrorMessage="1" allowBlank="1" errorTitle="Revisa este dato" error="Usa un valor permitido y conserva los campos sin medir vacíos." type="list" errorStyle="stop">
      <formula1>=CodigosTareas</formula1>
    </dataValidation>
    <dataValidation sqref="D2:D201" showDropDown="0" showInputMessage="0" showErrorMessage="1" allowBlank="1" errorTitle="Revisa este dato" error="Usa un valor permitido y conserva los campos sin medir vacíos." type="whole" errorStyle="stop" operator="between">
      <formula1>1</formula1>
      <formula2>100</formula2>
    </dataValidation>
    <dataValidation sqref="E2:E201" showDropDown="0" showInputMessage="0" showErrorMessage="1" allowBlank="1" errorTitle="Revisa este dato" error="Usa un valor permitido y conserva los campos sin medir vacíos." type="list" errorStyle="stop">
      <formula1>"Manual → LegalTriage,LegalTriage → Manual"</formula1>
    </dataValidation>
    <dataValidation sqref="H2:H201 J2:J201" showDropDown="0" showInputMessage="0" showErrorMessage="1" allowBlank="1" errorTitle="Revisa este dato" error="Usa un valor permitido y conserva los campos sin medir vacíos." type="list" errorStyle="stop">
      <formula1>"Pendiente,Correcta,Error,Bloqueada,No disponible"</formula1>
    </dataValidation>
    <dataValidation sqref="I2:I201 K2:K201" showDropDown="0" showInputMessage="0" showErrorMessage="1" allowBlank="1" errorTitle="Revisa este dato" error="Usa un valor permitido y conserva los campos sin medir vacíos." type="decimal" errorStyle="stop" operator="greaterThan">
      <formula1>0</formula1>
    </dataValidation>
    <dataValidation sqref="L2:L201" showDropDown="0" showInputMessage="0" showErrorMessage="1" allowBlank="1" errorTitle="Revisa este dato" error="Usa un valor permitido y conserva los campos sin medir vacíos." type="list" errorStyle="stop">
      <formula1>"Pendiente,Sí,No"</formula1>
    </dataValidation>
  </dataValidations>
  <printOptions horizontalCentered="1"/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M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</cols>
  <sheetData>
    <row r="1" ht="35" customHeight="1">
      <c r="A1" s="1" t="inlineStr">
        <is>
          <t>Tarea</t>
        </is>
      </c>
      <c r="B1" s="1" t="inlineStr">
        <is>
          <t>Descripción</t>
        </is>
      </c>
      <c r="C1" s="1" t="inlineStr">
        <is>
          <t>Pares válidos</t>
        </is>
      </c>
      <c r="D1" s="1" t="inlineStr">
        <is>
          <t>Media manual (s)</t>
        </is>
      </c>
      <c r="E1" s="1" t="inlineStr">
        <is>
          <t>Media LegalTriage (s)</t>
        </is>
      </c>
      <c r="F1" s="1" t="inlineStr">
        <is>
          <t>Diferencia media (s)</t>
        </is>
      </c>
      <c r="G1" s="1" t="inlineStr">
        <is>
          <t>Variación de tiempo (%)</t>
        </is>
      </c>
      <c r="H1" s="1" t="inlineStr">
        <is>
          <t>Errores manual</t>
        </is>
      </c>
      <c r="I1" s="1" t="inlineStr">
        <is>
          <t>Errores LegalTriage</t>
        </is>
      </c>
      <c r="J1" s="1" t="inlineStr">
        <is>
          <t>Bloqueos manual</t>
        </is>
      </c>
      <c r="K1" s="1" t="inlineStr">
        <is>
          <t>Bloqueos LegalTriage</t>
        </is>
      </c>
      <c r="L1" s="1" t="inlineStr">
        <is>
          <t>No disponible manual</t>
        </is>
      </c>
      <c r="M1" s="1" t="inlineStr">
        <is>
          <t>No disponible LegalTriage</t>
        </is>
      </c>
    </row>
    <row r="2">
      <c r="A2" s="9" t="inlineStr">
        <is>
          <t>T01</t>
        </is>
      </c>
      <c r="B2" s="9" t="inlineStr">
        <is>
          <t>Localizar y abrir el documento original</t>
        </is>
      </c>
      <c r="C2" s="9">
        <f>COUNTIFS(Mediciones!$C$2:$C$201,A2,Mediciones!$S$2:$S$201,"Sí")</f>
        <v/>
      </c>
      <c r="D2" s="10">
        <f>IF(C2=0,"",SUMIFS(Mediciones!$I$2:$I$201,Mediciones!$C$2:$C$201,A2,Mediciones!$S$2:$S$201,"Sí")/C2)</f>
        <v/>
      </c>
      <c r="E2" s="10">
        <f>IF(C2=0,"",SUMIFS(Mediciones!$K$2:$K$201,Mediciones!$C$2:$C$201,A2,Mediciones!$S$2:$S$201,"Sí")/C2)</f>
        <v/>
      </c>
      <c r="F2" s="10">
        <f>IF(C2=0,"",SUMIFS(Mediciones!$Q$2:$Q$201,Mediciones!$C$2:$C$201,A2,Mediciones!$S$2:$S$201,"Sí")/C2)</f>
        <v/>
      </c>
      <c r="G2" s="11">
        <f>IF(C2=0,"",(D2-E2)/D2)</f>
        <v/>
      </c>
      <c r="H2" s="9">
        <f>COUNTIFS(Mediciones!$C$2:$C$201,A2,Mediciones!$H$2:$H$201,"Error")</f>
        <v/>
      </c>
      <c r="I2" s="9">
        <f>COUNTIFS(Mediciones!$C$2:$C$201,A2,Mediciones!$J$2:$J$201,"Error")</f>
        <v/>
      </c>
      <c r="J2" s="9">
        <f>COUNTIFS(Mediciones!$C$2:$C$201,A2,Mediciones!$H$2:$H$201,"Bloqueada")</f>
        <v/>
      </c>
      <c r="K2" s="9">
        <f>COUNTIFS(Mediciones!$C$2:$C$201,A2,Mediciones!$J$2:$J$201,"Bloqueada")</f>
        <v/>
      </c>
      <c r="L2" s="9">
        <f>COUNTIFS(Mediciones!$C$2:$C$201,A2,Mediciones!$H$2:$H$201,"No disponible")</f>
        <v/>
      </c>
      <c r="M2" s="9">
        <f>COUNTIFS(Mediciones!$C$2:$C$201,A2,Mediciones!$J$2:$J$201,"No disponible")</f>
        <v/>
      </c>
    </row>
    <row r="3">
      <c r="A3" s="9" t="inlineStr">
        <is>
          <t>T02</t>
        </is>
      </c>
      <c r="B3" s="9" t="inlineStr">
        <is>
          <t>Asignar un caso previamente clasificado</t>
        </is>
      </c>
      <c r="C3" s="9">
        <f>COUNTIFS(Mediciones!$C$2:$C$201,A3,Mediciones!$S$2:$S$201,"Sí")</f>
        <v/>
      </c>
      <c r="D3" s="10">
        <f>IF(C3=0,"",SUMIFS(Mediciones!$I$2:$I$201,Mediciones!$C$2:$C$201,A3,Mediciones!$S$2:$S$201,"Sí")/C3)</f>
        <v/>
      </c>
      <c r="E3" s="10">
        <f>IF(C3=0,"",SUMIFS(Mediciones!$K$2:$K$201,Mediciones!$C$2:$C$201,A3,Mediciones!$S$2:$S$201,"Sí")/C3)</f>
        <v/>
      </c>
      <c r="F3" s="10">
        <f>IF(C3=0,"",SUMIFS(Mediciones!$Q$2:$Q$201,Mediciones!$C$2:$C$201,A3,Mediciones!$S$2:$S$201,"Sí")/C3)</f>
        <v/>
      </c>
      <c r="G3" s="11">
        <f>IF(C3=0,"",(D3-E3)/D3)</f>
        <v/>
      </c>
      <c r="H3" s="9">
        <f>COUNTIFS(Mediciones!$C$2:$C$201,A3,Mediciones!$H$2:$H$201,"Error")</f>
        <v/>
      </c>
      <c r="I3" s="9">
        <f>COUNTIFS(Mediciones!$C$2:$C$201,A3,Mediciones!$J$2:$J$201,"Error")</f>
        <v/>
      </c>
      <c r="J3" s="9">
        <f>COUNTIFS(Mediciones!$C$2:$C$201,A3,Mediciones!$H$2:$H$201,"Bloqueada")</f>
        <v/>
      </c>
      <c r="K3" s="9">
        <f>COUNTIFS(Mediciones!$C$2:$C$201,A3,Mediciones!$J$2:$J$201,"Bloqueada")</f>
        <v/>
      </c>
      <c r="L3" s="9">
        <f>COUNTIFS(Mediciones!$C$2:$C$201,A3,Mediciones!$H$2:$H$201,"No disponible")</f>
        <v/>
      </c>
      <c r="M3" s="9">
        <f>COUNTIFS(Mediciones!$C$2:$C$201,A3,Mediciones!$J$2:$J$201,"No disponible")</f>
        <v/>
      </c>
    </row>
    <row r="4">
      <c r="A4" s="9" t="inlineStr">
        <is>
          <t>T03</t>
        </is>
      </c>
      <c r="B4" s="9" t="inlineStr">
        <is>
          <t>Localizar una aclaración ya recibida</t>
        </is>
      </c>
      <c r="C4" s="9">
        <f>COUNTIFS(Mediciones!$C$2:$C$201,A4,Mediciones!$S$2:$S$201,"Sí")</f>
        <v/>
      </c>
      <c r="D4" s="10">
        <f>IF(C4=0,"",SUMIFS(Mediciones!$I$2:$I$201,Mediciones!$C$2:$C$201,A4,Mediciones!$S$2:$S$201,"Sí")/C4)</f>
        <v/>
      </c>
      <c r="E4" s="10">
        <f>IF(C4=0,"",SUMIFS(Mediciones!$K$2:$K$201,Mediciones!$C$2:$C$201,A4,Mediciones!$S$2:$S$201,"Sí")/C4)</f>
        <v/>
      </c>
      <c r="F4" s="10">
        <f>IF(C4=0,"",SUMIFS(Mediciones!$Q$2:$Q$201,Mediciones!$C$2:$C$201,A4,Mediciones!$S$2:$S$201,"Sí")/C4)</f>
        <v/>
      </c>
      <c r="G4" s="11">
        <f>IF(C4=0,"",(D4-E4)/D4)</f>
        <v/>
      </c>
      <c r="H4" s="9">
        <f>COUNTIFS(Mediciones!$C$2:$C$201,A4,Mediciones!$H$2:$H$201,"Error")</f>
        <v/>
      </c>
      <c r="I4" s="9">
        <f>COUNTIFS(Mediciones!$C$2:$C$201,A4,Mediciones!$J$2:$J$201,"Error")</f>
        <v/>
      </c>
      <c r="J4" s="9">
        <f>COUNTIFS(Mediciones!$C$2:$C$201,A4,Mediciones!$H$2:$H$201,"Bloqueada")</f>
        <v/>
      </c>
      <c r="K4" s="9">
        <f>COUNTIFS(Mediciones!$C$2:$C$201,A4,Mediciones!$J$2:$J$201,"Bloqueada")</f>
        <v/>
      </c>
      <c r="L4" s="9">
        <f>COUNTIFS(Mediciones!$C$2:$C$201,A4,Mediciones!$H$2:$H$201,"No disponible")</f>
        <v/>
      </c>
      <c r="M4" s="9">
        <f>COUNTIFS(Mediciones!$C$2:$C$201,A4,Mediciones!$J$2:$J$201,"No disponible")</f>
        <v/>
      </c>
    </row>
    <row r="5">
      <c r="A5" s="9" t="inlineStr">
        <is>
          <t>T04</t>
        </is>
      </c>
      <c r="B5" s="9" t="inlineStr">
        <is>
          <t>Consultar una versión anterior</t>
        </is>
      </c>
      <c r="C5" s="9">
        <f>COUNTIFS(Mediciones!$C$2:$C$201,A5,Mediciones!$S$2:$S$201,"Sí")</f>
        <v/>
      </c>
      <c r="D5" s="10">
        <f>IF(C5=0,"",SUMIFS(Mediciones!$I$2:$I$201,Mediciones!$C$2:$C$201,A5,Mediciones!$S$2:$S$201,"Sí")/C5)</f>
        <v/>
      </c>
      <c r="E5" s="10">
        <f>IF(C5=0,"",SUMIFS(Mediciones!$K$2:$K$201,Mediciones!$C$2:$C$201,A5,Mediciones!$S$2:$S$201,"Sí")/C5)</f>
        <v/>
      </c>
      <c r="F5" s="10">
        <f>IF(C5=0,"",SUMIFS(Mediciones!$Q$2:$Q$201,Mediciones!$C$2:$C$201,A5,Mediciones!$S$2:$S$201,"Sí")/C5)</f>
        <v/>
      </c>
      <c r="G5" s="11">
        <f>IF(C5=0,"",(D5-E5)/D5)</f>
        <v/>
      </c>
      <c r="H5" s="9">
        <f>COUNTIFS(Mediciones!$C$2:$C$201,A5,Mediciones!$H$2:$H$201,"Error")</f>
        <v/>
      </c>
      <c r="I5" s="9">
        <f>COUNTIFS(Mediciones!$C$2:$C$201,A5,Mediciones!$J$2:$J$201,"Error")</f>
        <v/>
      </c>
      <c r="J5" s="9">
        <f>COUNTIFS(Mediciones!$C$2:$C$201,A5,Mediciones!$H$2:$H$201,"Bloqueada")</f>
        <v/>
      </c>
      <c r="K5" s="9">
        <f>COUNTIFS(Mediciones!$C$2:$C$201,A5,Mediciones!$J$2:$J$201,"Bloqueada")</f>
        <v/>
      </c>
      <c r="L5" s="9">
        <f>COUNTIFS(Mediciones!$C$2:$C$201,A5,Mediciones!$H$2:$H$201,"No disponible")</f>
        <v/>
      </c>
      <c r="M5" s="9">
        <f>COUNTIFS(Mediciones!$C$2:$C$201,A5,Mediciones!$J$2:$J$201,"No disponible")</f>
        <v/>
      </c>
    </row>
    <row r="6">
      <c r="A6" s="9" t="inlineStr">
        <is>
          <t>T05</t>
        </is>
      </c>
      <c r="B6" s="9" t="inlineStr">
        <is>
          <t>Registrar y clasificar una consulta nueva</t>
        </is>
      </c>
      <c r="C6" s="9">
        <f>COUNTIFS(Mediciones!$C$2:$C$201,A6,Mediciones!$S$2:$S$201,"Sí")</f>
        <v/>
      </c>
      <c r="D6" s="10">
        <f>IF(C6=0,"",SUMIFS(Mediciones!$I$2:$I$201,Mediciones!$C$2:$C$201,A6,Mediciones!$S$2:$S$201,"Sí")/C6)</f>
        <v/>
      </c>
      <c r="E6" s="10">
        <f>IF(C6=0,"",SUMIFS(Mediciones!$K$2:$K$201,Mediciones!$C$2:$C$201,A6,Mediciones!$S$2:$S$201,"Sí")/C6)</f>
        <v/>
      </c>
      <c r="F6" s="10">
        <f>IF(C6=0,"",SUMIFS(Mediciones!$Q$2:$Q$201,Mediciones!$C$2:$C$201,A6,Mediciones!$S$2:$S$201,"Sí")/C6)</f>
        <v/>
      </c>
      <c r="G6" s="11">
        <f>IF(C6=0,"",(D6-E6)/D6)</f>
        <v/>
      </c>
      <c r="H6" s="9">
        <f>COUNTIFS(Mediciones!$C$2:$C$201,A6,Mediciones!$H$2:$H$201,"Error")</f>
        <v/>
      </c>
      <c r="I6" s="9">
        <f>COUNTIFS(Mediciones!$C$2:$C$201,A6,Mediciones!$J$2:$J$201,"Error")</f>
        <v/>
      </c>
      <c r="J6" s="9">
        <f>COUNTIFS(Mediciones!$C$2:$C$201,A6,Mediciones!$H$2:$H$201,"Bloqueada")</f>
        <v/>
      </c>
      <c r="K6" s="9">
        <f>COUNTIFS(Mediciones!$C$2:$C$201,A6,Mediciones!$J$2:$J$201,"Bloqueada")</f>
        <v/>
      </c>
      <c r="L6" s="9">
        <f>COUNTIFS(Mediciones!$C$2:$C$201,A6,Mediciones!$H$2:$H$201,"No disponible")</f>
        <v/>
      </c>
      <c r="M6" s="9">
        <f>COUNTIFS(Mediciones!$C$2:$C$201,A6,Mediciones!$J$2:$J$201,"No disponible")</f>
        <v/>
      </c>
    </row>
    <row r="7">
      <c r="A7" s="9" t="inlineStr">
        <is>
          <t>T06</t>
        </is>
      </c>
      <c r="B7" s="9" t="inlineStr">
        <is>
          <t>Obtener y verificar un análisis documental</t>
        </is>
      </c>
      <c r="C7" s="9">
        <f>COUNTIFS(Mediciones!$C$2:$C$201,A7,Mediciones!$S$2:$S$201,"Sí")</f>
        <v/>
      </c>
      <c r="D7" s="10">
        <f>IF(C7=0,"",SUMIFS(Mediciones!$I$2:$I$201,Mediciones!$C$2:$C$201,A7,Mediciones!$S$2:$S$201,"Sí")/C7)</f>
        <v/>
      </c>
      <c r="E7" s="10">
        <f>IF(C7=0,"",SUMIFS(Mediciones!$K$2:$K$201,Mediciones!$C$2:$C$201,A7,Mediciones!$S$2:$S$201,"Sí")/C7)</f>
        <v/>
      </c>
      <c r="F7" s="10">
        <f>IF(C7=0,"",SUMIFS(Mediciones!$Q$2:$Q$201,Mediciones!$C$2:$C$201,A7,Mediciones!$S$2:$S$201,"Sí")/C7)</f>
        <v/>
      </c>
      <c r="G7" s="11">
        <f>IF(C7=0,"",(D7-E7)/D7)</f>
        <v/>
      </c>
      <c r="H7" s="9">
        <f>COUNTIFS(Mediciones!$C$2:$C$201,A7,Mediciones!$H$2:$H$201,"Error")</f>
        <v/>
      </c>
      <c r="I7" s="9">
        <f>COUNTIFS(Mediciones!$C$2:$C$201,A7,Mediciones!$J$2:$J$201,"Error")</f>
        <v/>
      </c>
      <c r="J7" s="9">
        <f>COUNTIFS(Mediciones!$C$2:$C$201,A7,Mediciones!$H$2:$H$201,"Bloqueada")</f>
        <v/>
      </c>
      <c r="K7" s="9">
        <f>COUNTIFS(Mediciones!$C$2:$C$201,A7,Mediciones!$J$2:$J$201,"Bloqueada")</f>
        <v/>
      </c>
      <c r="L7" s="9">
        <f>COUNTIFS(Mediciones!$C$2:$C$201,A7,Mediciones!$H$2:$H$201,"No disponible")</f>
        <v/>
      </c>
      <c r="M7" s="9">
        <f>COUNTIFS(Mediciones!$C$2:$C$201,A7,Mediciones!$J$2:$J$201,"No disponible")</f>
        <v/>
      </c>
    </row>
  </sheetData>
  <autoFilter ref="A1:M7"/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2026-10-28T00:50:20Z</dcterms:created>
  <dcterms:modified xmlns:dcterms="http://purl.org/dc/terms/" xmlns:xsi="http://www.w3.org/2001/XMLSchema-instance" xsi:type="dcterms:W3CDTF">2026-10-28T00:50:20Z</dcterms:modified>
</cp:coreProperties>
</file>